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mio101_pitt_edu/Documents/teaching/intro_to_finance/BUSFIN1030 25&amp;#x3a;26/slides/"/>
    </mc:Choice>
  </mc:AlternateContent>
  <xr:revisionPtr revIDLastSave="181" documentId="8_{D993A7D2-F305-7147-A47B-2D0DF96E1F0E}" xr6:coauthVersionLast="47" xr6:coauthVersionMax="47" xr10:uidLastSave="{082D13C2-312E-F948-9E3F-23CA044B0771}"/>
  <bookViews>
    <workbookView xWindow="14540" yWindow="5300" windowWidth="28040" windowHeight="17440" xr2:uid="{E9F90F62-B215-1F4C-9F21-4A26B4A98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F69" i="1"/>
  <c r="F65" i="1"/>
  <c r="F64" i="1"/>
  <c r="F63" i="1"/>
  <c r="F58" i="1"/>
  <c r="F57" i="1"/>
  <c r="F52" i="1"/>
  <c r="G48" i="1"/>
  <c r="F46" i="1"/>
  <c r="G45" i="1"/>
  <c r="G39" i="1"/>
  <c r="F36" i="1"/>
  <c r="F33" i="1"/>
  <c r="F29" i="1"/>
  <c r="G28" i="1"/>
  <c r="G24" i="1"/>
  <c r="F22" i="1"/>
  <c r="F21" i="1"/>
  <c r="F16" i="1"/>
  <c r="F12" i="1"/>
  <c r="G10" i="1"/>
  <c r="G69" i="1"/>
  <c r="F53" i="1"/>
  <c r="F49" i="1"/>
  <c r="F41" i="1"/>
  <c r="G40" i="1"/>
  <c r="F34" i="1"/>
  <c r="F17" i="1"/>
  <c r="F14" i="1"/>
  <c r="G14" i="1"/>
  <c r="F15" i="1"/>
  <c r="G15" i="1"/>
  <c r="F18" i="1"/>
  <c r="G18" i="1"/>
  <c r="F19" i="1"/>
  <c r="G19" i="1"/>
  <c r="F20" i="1"/>
  <c r="G20" i="1"/>
  <c r="F26" i="1"/>
  <c r="G26" i="1"/>
  <c r="F27" i="1"/>
  <c r="G27" i="1"/>
  <c r="F28" i="1"/>
  <c r="F30" i="1"/>
  <c r="G30" i="1"/>
  <c r="F31" i="1"/>
  <c r="G31" i="1"/>
  <c r="F32" i="1"/>
  <c r="G32" i="1"/>
  <c r="G36" i="1"/>
  <c r="F38" i="1"/>
  <c r="G38" i="1"/>
  <c r="F39" i="1"/>
  <c r="F42" i="1"/>
  <c r="G42" i="1"/>
  <c r="F43" i="1"/>
  <c r="G43" i="1"/>
  <c r="F44" i="1"/>
  <c r="G44" i="1"/>
  <c r="F50" i="1"/>
  <c r="G50" i="1"/>
  <c r="F51" i="1"/>
  <c r="G51" i="1"/>
  <c r="F54" i="1"/>
  <c r="G54" i="1"/>
  <c r="F55" i="1"/>
  <c r="G55" i="1"/>
  <c r="F56" i="1"/>
  <c r="G56" i="1"/>
  <c r="F60" i="1"/>
  <c r="G60" i="1"/>
  <c r="F62" i="1"/>
  <c r="G62" i="1"/>
  <c r="F66" i="1"/>
  <c r="G66" i="1"/>
  <c r="F67" i="1"/>
  <c r="G67" i="1"/>
  <c r="F68" i="1"/>
  <c r="G68" i="1"/>
  <c r="F45" i="1" l="1"/>
  <c r="G12" i="1"/>
  <c r="G21" i="1"/>
  <c r="G64" i="1"/>
  <c r="G63" i="1"/>
  <c r="G52" i="1"/>
  <c r="F23" i="1"/>
  <c r="G23" i="1"/>
  <c r="F11" i="1"/>
  <c r="G11" i="1"/>
  <c r="F35" i="1"/>
  <c r="G35" i="1"/>
  <c r="G34" i="1"/>
  <c r="G57" i="1"/>
  <c r="F10" i="1"/>
  <c r="G33" i="1"/>
  <c r="F59" i="1"/>
  <c r="G59" i="1"/>
  <c r="G58" i="1"/>
  <c r="F37" i="1"/>
  <c r="G37" i="1"/>
  <c r="G16" i="1"/>
  <c r="F48" i="1"/>
  <c r="F40" i="1"/>
  <c r="F24" i="1"/>
  <c r="G49" i="1"/>
  <c r="G46" i="1"/>
  <c r="G22" i="1"/>
  <c r="F47" i="1"/>
  <c r="G47" i="1"/>
  <c r="F13" i="1"/>
  <c r="G13" i="1"/>
  <c r="F25" i="1"/>
  <c r="G25" i="1"/>
  <c r="F61" i="1"/>
  <c r="G61" i="1"/>
  <c r="G65" i="1"/>
  <c r="G53" i="1"/>
  <c r="G41" i="1"/>
  <c r="G29" i="1"/>
  <c r="G17" i="1"/>
  <c r="C3" i="1" l="1"/>
  <c r="C4" i="1"/>
  <c r="C5" i="1"/>
</calcChain>
</file>

<file path=xl/sharedStrings.xml><?xml version="1.0" encoding="utf-8"?>
<sst xmlns="http://schemas.openxmlformats.org/spreadsheetml/2006/main" count="49" uniqueCount="46">
  <si>
    <t>MSFT</t>
  </si>
  <si>
    <t>Beta</t>
  </si>
  <si>
    <t>Alpha</t>
  </si>
  <si>
    <t>Std error residuals</t>
  </si>
  <si>
    <t>R-square</t>
  </si>
  <si>
    <t>SD rm</t>
  </si>
  <si>
    <t>DATE</t>
  </si>
  <si>
    <t>S&amp;P500</t>
  </si>
  <si>
    <t>ri-rf</t>
  </si>
  <si>
    <t>rm-rf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</si>
  <si>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</si>
  <si>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</si>
  <si>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</si>
  <si>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</si>
  <si>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</si>
  <si>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</si>
  <si>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</si>
  <si>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</si>
  <si>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</si>
  <si>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</si>
  <si>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</si>
  <si>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</si>
  <si>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</si>
  <si>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</si>
  <si>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</si>
  <si>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</si>
  <si>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</si>
  <si>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</si>
  <si>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</si>
  <si>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</si>
  <si>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</si>
  <si>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</si>
  <si>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</si>
  <si>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</si>
  <si>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</si>
  <si>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</si>
  <si>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</si>
  <si>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</si>
  <si>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</si>
  <si>
    <t>T-Bill (FRED GS3M)</t>
  </si>
  <si>
    <t>Data</t>
  </si>
  <si>
    <t>Risk-Free</t>
  </si>
  <si>
    <t>FRED - GS3M series</t>
  </si>
  <si>
    <t>CRSP - monthly "ret"</t>
  </si>
  <si>
    <t>Market Return</t>
  </si>
  <si>
    <t>CRSP - monthly "sprtrn"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</si>
</sst>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0.0000"/>
    <numFmt numFmtId="169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14" fontId="0" fillId="0" borderId="0" xfId="0" applyNumberFormat="1"/>
    <xf numFmtId="166" fontId="0" fillId="0" borderId="0" xfId="0" applyNumberFormat="1"/>
    <xf numFmtId="43" fontId="0" fillId="0" borderId="0" xfId="1" applyFont="1"/>
    <xf numFmtId="169" fontId="0" fillId="0" borderId="0" xfId="1" applyNumberFormat="1" applyFont="1"/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08651244175873"/>
          <c:y val="3.3333333333333333E-2"/>
          <c:w val="0.83337219475472546"/>
          <c:h val="0.88797285474450827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38100">
              <a:noFill/>
            </a:ln>
          </c:spPr>
          <c:xVal>
            <c:numRef>
              <c:f>Sheet1!$G$10:$G$69</c:f>
              <c:numCache>
                <c:formatCode>0.0000</c:formatCode>
                <c:ptCount val="60"/>
                <c:pt idx="0">
                  <c:v>-2.8946666666666669E-3</c:v>
                </c:pt>
                <c:pt idx="1">
                  <c:v>-8.4351666666666672E-2</c:v>
                </c:pt>
                <c:pt idx="2">
                  <c:v>-0.12523566666666666</c:v>
                </c:pt>
                <c:pt idx="3">
                  <c:v>0.12673566666666669</c:v>
                </c:pt>
                <c:pt idx="4">
                  <c:v>4.514866666666667E-2</c:v>
                </c:pt>
                <c:pt idx="5">
                  <c:v>1.827966666666667E-2</c:v>
                </c:pt>
                <c:pt idx="6">
                  <c:v>5.5017666666666666E-2</c:v>
                </c:pt>
                <c:pt idx="7">
                  <c:v>6.9973333333333332E-2</c:v>
                </c:pt>
                <c:pt idx="8">
                  <c:v>-3.931133333333333E-2</c:v>
                </c:pt>
                <c:pt idx="9">
                  <c:v>-2.7740999999999998E-2</c:v>
                </c:pt>
                <c:pt idx="10">
                  <c:v>0.107471</c:v>
                </c:pt>
                <c:pt idx="11">
                  <c:v>3.7054333333333335E-2</c:v>
                </c:pt>
                <c:pt idx="12">
                  <c:v>-1.1170333333333332E-2</c:v>
                </c:pt>
                <c:pt idx="13">
                  <c:v>2.6065999999999999E-2</c:v>
                </c:pt>
                <c:pt idx="14">
                  <c:v>4.2422333333333333E-2</c:v>
                </c:pt>
                <c:pt idx="15">
                  <c:v>5.2408333333333335E-2</c:v>
                </c:pt>
                <c:pt idx="16">
                  <c:v>5.4536666666666666E-3</c:v>
                </c:pt>
                <c:pt idx="17">
                  <c:v>2.2172333333333336E-2</c:v>
                </c:pt>
                <c:pt idx="18">
                  <c:v>2.2706333333333335E-2</c:v>
                </c:pt>
                <c:pt idx="19">
                  <c:v>2.8956666666666665E-2</c:v>
                </c:pt>
                <c:pt idx="20">
                  <c:v>-4.7610666666666669E-2</c:v>
                </c:pt>
                <c:pt idx="21">
                  <c:v>6.9102333333333335E-2</c:v>
                </c:pt>
                <c:pt idx="22">
                  <c:v>-8.3839999999999991E-3</c:v>
                </c:pt>
                <c:pt idx="23">
                  <c:v>4.3487999999999999E-2</c:v>
                </c:pt>
                <c:pt idx="24">
                  <c:v>-5.2859999999999997E-2</c:v>
                </c:pt>
                <c:pt idx="25">
                  <c:v>-3.1727666666666668E-2</c:v>
                </c:pt>
                <c:pt idx="26">
                  <c:v>3.5139666666666666E-2</c:v>
                </c:pt>
                <c:pt idx="27">
                  <c:v>-8.8773666666666654E-2</c:v>
                </c:pt>
                <c:pt idx="28">
                  <c:v>-1.1886666666666666E-3</c:v>
                </c:pt>
                <c:pt idx="29">
                  <c:v>-8.5778333333333331E-2</c:v>
                </c:pt>
                <c:pt idx="30">
                  <c:v>8.8924333333333341E-2</c:v>
                </c:pt>
                <c:pt idx="31">
                  <c:v>-4.5048333333333329E-2</c:v>
                </c:pt>
                <c:pt idx="32">
                  <c:v>-9.6496000000000012E-2</c:v>
                </c:pt>
                <c:pt idx="33">
                  <c:v>7.6404666666666676E-2</c:v>
                </c:pt>
                <c:pt idx="34">
                  <c:v>5.0211333333333337E-2</c:v>
                </c:pt>
                <c:pt idx="35">
                  <c:v>-6.2754333333333343E-2</c:v>
                </c:pt>
                <c:pt idx="36">
                  <c:v>5.7877999999999999E-2</c:v>
                </c:pt>
                <c:pt idx="37">
                  <c:v>-3.0020333333333333E-2</c:v>
                </c:pt>
                <c:pt idx="38">
                  <c:v>3.0952E-2</c:v>
                </c:pt>
                <c:pt idx="39">
                  <c:v>1.0358666666666667E-2</c:v>
                </c:pt>
                <c:pt idx="40">
                  <c:v>-1.8180000000000002E-3</c:v>
                </c:pt>
                <c:pt idx="41">
                  <c:v>6.035299999999999E-2</c:v>
                </c:pt>
                <c:pt idx="42">
                  <c:v>2.6722333333333334E-2</c:v>
                </c:pt>
                <c:pt idx="43">
                  <c:v>-2.2149333333333333E-2</c:v>
                </c:pt>
                <c:pt idx="44">
                  <c:v>-5.3169000000000001E-2</c:v>
                </c:pt>
                <c:pt idx="45">
                  <c:v>-2.6371666666666665E-2</c:v>
                </c:pt>
                <c:pt idx="46">
                  <c:v>8.4812333333333323E-2</c:v>
                </c:pt>
                <c:pt idx="47">
                  <c:v>3.9878999999999998E-2</c:v>
                </c:pt>
                <c:pt idx="48">
                  <c:v>1.1529333333333332E-2</c:v>
                </c:pt>
                <c:pt idx="49">
                  <c:v>4.7354333333333339E-2</c:v>
                </c:pt>
                <c:pt idx="50">
                  <c:v>2.6652333333333333E-2</c:v>
                </c:pt>
                <c:pt idx="51">
                  <c:v>-4.5990000000000003E-2</c:v>
                </c:pt>
                <c:pt idx="52">
                  <c:v>4.3654333333333337E-2</c:v>
                </c:pt>
                <c:pt idx="53">
                  <c:v>3.0336666666666665E-2</c:v>
                </c:pt>
                <c:pt idx="54">
                  <c:v>7.1126666666666664E-3</c:v>
                </c:pt>
                <c:pt idx="55">
                  <c:v>1.8901666666666667E-2</c:v>
                </c:pt>
                <c:pt idx="56">
                  <c:v>1.6438666666666667E-2</c:v>
                </c:pt>
                <c:pt idx="57">
                  <c:v>-1.3580333333333333E-2</c:v>
                </c:pt>
                <c:pt idx="58">
                  <c:v>5.3742666666666668E-2</c:v>
                </c:pt>
                <c:pt idx="59">
                  <c:v>-2.849833333333333E-2</c:v>
                </c:pt>
              </c:numCache>
            </c:numRef>
          </c:xVal>
          <c:yVal>
            <c:numRef>
              <c:f>Sheet1!$F$10:$F$69</c:f>
              <c:numCache>
                <c:formatCode>0.0000</c:formatCode>
                <c:ptCount val="60"/>
                <c:pt idx="0">
                  <c:v>7.8188333333333332E-2</c:v>
                </c:pt>
                <c:pt idx="1">
                  <c:v>-4.5533666666666667E-2</c:v>
                </c:pt>
                <c:pt idx="2">
                  <c:v>-2.6657666666666666E-2</c:v>
                </c:pt>
                <c:pt idx="3">
                  <c:v>0.13621766666666668</c:v>
                </c:pt>
                <c:pt idx="4">
                  <c:v>2.5255666666666666E-2</c:v>
                </c:pt>
                <c:pt idx="5">
                  <c:v>0.11045066666666667</c:v>
                </c:pt>
                <c:pt idx="6">
                  <c:v>7.2876666666666663E-3</c:v>
                </c:pt>
                <c:pt idx="7">
                  <c:v>0.10248833333333333</c:v>
                </c:pt>
                <c:pt idx="8">
                  <c:v>-6.7480333333333337E-2</c:v>
                </c:pt>
                <c:pt idx="9">
                  <c:v>-3.7444999999999999E-2</c:v>
                </c:pt>
                <c:pt idx="10">
                  <c:v>5.9983000000000002E-2</c:v>
                </c:pt>
                <c:pt idx="11">
                  <c:v>3.8939333333333333E-2</c:v>
                </c:pt>
                <c:pt idx="12">
                  <c:v>4.2858666666666663E-2</c:v>
                </c:pt>
                <c:pt idx="13">
                  <c:v>4.1999999999999997E-3</c:v>
                </c:pt>
                <c:pt idx="14">
                  <c:v>1.4571333333333334E-2</c:v>
                </c:pt>
                <c:pt idx="15">
                  <c:v>6.9585333333333332E-2</c:v>
                </c:pt>
                <c:pt idx="16">
                  <c:v>-7.7263333333333333E-3</c:v>
                </c:pt>
                <c:pt idx="17">
                  <c:v>8.4947333333333333E-2</c:v>
                </c:pt>
                <c:pt idx="18">
                  <c:v>5.167533333333333E-2</c:v>
                </c:pt>
                <c:pt idx="19">
                  <c:v>6.1494666666666663E-2</c:v>
                </c:pt>
                <c:pt idx="20">
                  <c:v>-6.6160666666666659E-2</c:v>
                </c:pt>
                <c:pt idx="21">
                  <c:v>0.17624933333333334</c:v>
                </c:pt>
                <c:pt idx="22">
                  <c:v>-1.2859999999999998E-3</c:v>
                </c:pt>
                <c:pt idx="23">
                  <c:v>1.7208000000000001E-2</c:v>
                </c:pt>
                <c:pt idx="24">
                  <c:v>-7.5619999999999993E-2</c:v>
                </c:pt>
                <c:pt idx="25">
                  <c:v>-3.757166666666667E-2</c:v>
                </c:pt>
                <c:pt idx="26">
                  <c:v>3.1228666666666668E-2</c:v>
                </c:pt>
                <c:pt idx="27">
                  <c:v>-0.10068366666666666</c:v>
                </c:pt>
                <c:pt idx="28">
                  <c:v>-1.9366666666666664E-2</c:v>
                </c:pt>
                <c:pt idx="29">
                  <c:v>-5.7179333333333332E-2</c:v>
                </c:pt>
                <c:pt idx="30">
                  <c:v>9.0905333333333338E-2</c:v>
                </c:pt>
                <c:pt idx="31">
                  <c:v>-6.9040333333333342E-2</c:v>
                </c:pt>
                <c:pt idx="32">
                  <c:v>-0.11236700000000001</c:v>
                </c:pt>
                <c:pt idx="33">
                  <c:v>-6.764333333333334E-3</c:v>
                </c:pt>
                <c:pt idx="34">
                  <c:v>9.8513333333333342E-2</c:v>
                </c:pt>
                <c:pt idx="35">
                  <c:v>-6.3828333333333334E-2</c:v>
                </c:pt>
                <c:pt idx="36">
                  <c:v>2.9441999999999999E-2</c:v>
                </c:pt>
                <c:pt idx="37">
                  <c:v>5.3326666666666652E-3</c:v>
                </c:pt>
                <c:pt idx="38">
                  <c:v>0.151782</c:v>
                </c:pt>
                <c:pt idx="39">
                  <c:v>6.1481666666666671E-2</c:v>
                </c:pt>
                <c:pt idx="40">
                  <c:v>6.6682000000000005E-2</c:v>
                </c:pt>
                <c:pt idx="41">
                  <c:v>3.2624E-2</c:v>
                </c:pt>
                <c:pt idx="42">
                  <c:v>-1.7983666666666665E-2</c:v>
                </c:pt>
                <c:pt idx="43">
                  <c:v>-2.6700333333333333E-2</c:v>
                </c:pt>
                <c:pt idx="44">
                  <c:v>-4.1093000000000005E-2</c:v>
                </c:pt>
                <c:pt idx="45">
                  <c:v>6.6423333333333334E-2</c:v>
                </c:pt>
                <c:pt idx="46">
                  <c:v>0.11852233333333333</c:v>
                </c:pt>
                <c:pt idx="47">
                  <c:v>-1.1924000000000001E-2</c:v>
                </c:pt>
                <c:pt idx="48">
                  <c:v>5.2914333333333334E-2</c:v>
                </c:pt>
                <c:pt idx="49">
                  <c:v>3.7914333333333335E-2</c:v>
                </c:pt>
                <c:pt idx="50">
                  <c:v>1.2749333333333331E-2</c:v>
                </c:pt>
                <c:pt idx="51">
                  <c:v>-7.8985E-2</c:v>
                </c:pt>
                <c:pt idx="52">
                  <c:v>6.3827333333333333E-2</c:v>
                </c:pt>
                <c:pt idx="53">
                  <c:v>7.2317666666666669E-2</c:v>
                </c:pt>
                <c:pt idx="54">
                  <c:v>-6.8197333333333332E-2</c:v>
                </c:pt>
                <c:pt idx="55">
                  <c:v>-5.0333333333333332E-3</c:v>
                </c:pt>
                <c:pt idx="56">
                  <c:v>2.7789666666666667E-2</c:v>
                </c:pt>
                <c:pt idx="57">
                  <c:v>-5.934233333333333E-2</c:v>
                </c:pt>
                <c:pt idx="58">
                  <c:v>4.0590666666666671E-2</c:v>
                </c:pt>
                <c:pt idx="59">
                  <c:v>-8.1373333333333332E-3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E0-574E-A2AF-18AA1C118908}"/>
            </c:ext>
          </c:extLst>
        </c:ser>
        <c:ser>
          <c:idx val="1"/>
          <c:order val="1"/>
          <c:tx>
            <c:v>Predicted Y</c:v>
          </c:tx>
          <c:spPr>
            <a:ln w="38100">
              <a:solidFill>
                <a:schemeClr val="accent2"/>
              </a:solidFill>
            </a:ln>
          </c:spPr>
          <c:marker>
            <c:spPr>
              <a:noFill/>
              <a:ln>
                <a:noFill/>
              </a:ln>
            </c:spPr>
          </c:marker>
          <c:xVal>
            <c:numRef>
              <c:f>Sheet1!$G$10:$G$69</c:f>
              <c:numCache>
                <c:formatCode>0.0000</c:formatCode>
                <c:ptCount val="60"/>
                <c:pt idx="0">
                  <c:v>-2.8946666666666669E-3</c:v>
                </c:pt>
                <c:pt idx="1">
                  <c:v>-8.4351666666666672E-2</c:v>
                </c:pt>
                <c:pt idx="2">
                  <c:v>-0.12523566666666666</c:v>
                </c:pt>
                <c:pt idx="3">
                  <c:v>0.12673566666666669</c:v>
                </c:pt>
                <c:pt idx="4">
                  <c:v>4.514866666666667E-2</c:v>
                </c:pt>
                <c:pt idx="5">
                  <c:v>1.827966666666667E-2</c:v>
                </c:pt>
                <c:pt idx="6">
                  <c:v>5.5017666666666666E-2</c:v>
                </c:pt>
                <c:pt idx="7">
                  <c:v>6.9973333333333332E-2</c:v>
                </c:pt>
                <c:pt idx="8">
                  <c:v>-3.931133333333333E-2</c:v>
                </c:pt>
                <c:pt idx="9">
                  <c:v>-2.7740999999999998E-2</c:v>
                </c:pt>
                <c:pt idx="10">
                  <c:v>0.107471</c:v>
                </c:pt>
                <c:pt idx="11">
                  <c:v>3.7054333333333335E-2</c:v>
                </c:pt>
                <c:pt idx="12">
                  <c:v>-1.1170333333333332E-2</c:v>
                </c:pt>
                <c:pt idx="13">
                  <c:v>2.6065999999999999E-2</c:v>
                </c:pt>
                <c:pt idx="14">
                  <c:v>4.2422333333333333E-2</c:v>
                </c:pt>
                <c:pt idx="15">
                  <c:v>5.2408333333333335E-2</c:v>
                </c:pt>
                <c:pt idx="16">
                  <c:v>5.4536666666666666E-3</c:v>
                </c:pt>
                <c:pt idx="17">
                  <c:v>2.2172333333333336E-2</c:v>
                </c:pt>
                <c:pt idx="18">
                  <c:v>2.2706333333333335E-2</c:v>
                </c:pt>
                <c:pt idx="19">
                  <c:v>2.8956666666666665E-2</c:v>
                </c:pt>
                <c:pt idx="20">
                  <c:v>-4.7610666666666669E-2</c:v>
                </c:pt>
                <c:pt idx="21">
                  <c:v>6.9102333333333335E-2</c:v>
                </c:pt>
                <c:pt idx="22">
                  <c:v>-8.3839999999999991E-3</c:v>
                </c:pt>
                <c:pt idx="23">
                  <c:v>4.3487999999999999E-2</c:v>
                </c:pt>
                <c:pt idx="24">
                  <c:v>-5.2859999999999997E-2</c:v>
                </c:pt>
                <c:pt idx="25">
                  <c:v>-3.1727666666666668E-2</c:v>
                </c:pt>
                <c:pt idx="26">
                  <c:v>3.5139666666666666E-2</c:v>
                </c:pt>
                <c:pt idx="27">
                  <c:v>-8.8773666666666654E-2</c:v>
                </c:pt>
                <c:pt idx="28">
                  <c:v>-1.1886666666666666E-3</c:v>
                </c:pt>
                <c:pt idx="29">
                  <c:v>-8.5778333333333331E-2</c:v>
                </c:pt>
                <c:pt idx="30">
                  <c:v>8.8924333333333341E-2</c:v>
                </c:pt>
                <c:pt idx="31">
                  <c:v>-4.5048333333333329E-2</c:v>
                </c:pt>
                <c:pt idx="32">
                  <c:v>-9.6496000000000012E-2</c:v>
                </c:pt>
                <c:pt idx="33">
                  <c:v>7.6404666666666676E-2</c:v>
                </c:pt>
                <c:pt idx="34">
                  <c:v>5.0211333333333337E-2</c:v>
                </c:pt>
                <c:pt idx="35">
                  <c:v>-6.2754333333333343E-2</c:v>
                </c:pt>
                <c:pt idx="36">
                  <c:v>5.7877999999999999E-2</c:v>
                </c:pt>
                <c:pt idx="37">
                  <c:v>-3.0020333333333333E-2</c:v>
                </c:pt>
                <c:pt idx="38">
                  <c:v>3.0952E-2</c:v>
                </c:pt>
                <c:pt idx="39">
                  <c:v>1.0358666666666667E-2</c:v>
                </c:pt>
                <c:pt idx="40">
                  <c:v>-1.8180000000000002E-3</c:v>
                </c:pt>
                <c:pt idx="41">
                  <c:v>6.035299999999999E-2</c:v>
                </c:pt>
                <c:pt idx="42">
                  <c:v>2.6722333333333334E-2</c:v>
                </c:pt>
                <c:pt idx="43">
                  <c:v>-2.2149333333333333E-2</c:v>
                </c:pt>
                <c:pt idx="44">
                  <c:v>-5.3169000000000001E-2</c:v>
                </c:pt>
                <c:pt idx="45">
                  <c:v>-2.6371666666666665E-2</c:v>
                </c:pt>
                <c:pt idx="46">
                  <c:v>8.4812333333333323E-2</c:v>
                </c:pt>
                <c:pt idx="47">
                  <c:v>3.9878999999999998E-2</c:v>
                </c:pt>
                <c:pt idx="48">
                  <c:v>1.1529333333333332E-2</c:v>
                </c:pt>
                <c:pt idx="49">
                  <c:v>4.7354333333333339E-2</c:v>
                </c:pt>
                <c:pt idx="50">
                  <c:v>2.6652333333333333E-2</c:v>
                </c:pt>
                <c:pt idx="51">
                  <c:v>-4.5990000000000003E-2</c:v>
                </c:pt>
                <c:pt idx="52">
                  <c:v>4.3654333333333337E-2</c:v>
                </c:pt>
                <c:pt idx="53">
                  <c:v>3.0336666666666665E-2</c:v>
                </c:pt>
                <c:pt idx="54">
                  <c:v>7.1126666666666664E-3</c:v>
                </c:pt>
                <c:pt idx="55">
                  <c:v>1.8901666666666667E-2</c:v>
                </c:pt>
                <c:pt idx="56">
                  <c:v>1.6438666666666667E-2</c:v>
                </c:pt>
                <c:pt idx="57">
                  <c:v>-1.3580333333333333E-2</c:v>
                </c:pt>
                <c:pt idx="58">
                  <c:v>5.3742666666666668E-2</c:v>
                </c:pt>
                <c:pt idx="59">
                  <c:v>-2.849833333333333E-2</c:v>
                </c:pt>
              </c:numCache>
            </c:numRef>
          </c:xVal>
          <c:yVal>
            <c:numRef>
              <c:f>Sheet1!$K$26:$K$85</c:f>
              <c:numCache>
                <c:formatCode>General</c:formatCode>
                <c:ptCount val="60"/>
                <c:pt idx="0">
                  <c:v>6.2502585086352718E-3</c:v>
                </c:pt>
                <c:pt idx="1">
                  <c:v>-6.6838557770310558E-2</c:v>
                </c:pt>
                <c:pt idx="2">
                  <c:v>-0.1035224911922193</c:v>
                </c:pt>
                <c:pt idx="3">
                  <c:v>0.12256349883394199</c:v>
                </c:pt>
                <c:pt idx="4">
                  <c:v>4.9358037624342391E-2</c:v>
                </c:pt>
                <c:pt idx="5">
                  <c:v>2.5249324995605806E-2</c:v>
                </c:pt>
                <c:pt idx="6">
                  <c:v>5.82131823983571E-2</c:v>
                </c:pt>
                <c:pt idx="7">
                  <c:v>7.1632433946157217E-2</c:v>
                </c:pt>
                <c:pt idx="8">
                  <c:v>-2.6425276552705195E-2</c:v>
                </c:pt>
                <c:pt idx="9">
                  <c:v>-1.6043578634955181E-2</c:v>
                </c:pt>
                <c:pt idx="10">
                  <c:v>0.10527791646931853</c:v>
                </c:pt>
                <c:pt idx="11">
                  <c:v>4.2095245698534324E-2</c:v>
                </c:pt>
                <c:pt idx="12">
                  <c:v>-1.1752381409564879E-3</c:v>
                </c:pt>
                <c:pt idx="13">
                  <c:v>3.2235758162634201E-2</c:v>
                </c:pt>
                <c:pt idx="14">
                  <c:v>4.6911784065837084E-2</c:v>
                </c:pt>
                <c:pt idx="15">
                  <c:v>5.5871909277440179E-2</c:v>
                </c:pt>
                <c:pt idx="16">
                  <c:v>1.3740956683566825E-2</c:v>
                </c:pt>
                <c:pt idx="17">
                  <c:v>2.8742092944771334E-2</c:v>
                </c:pt>
                <c:pt idx="18">
                  <c:v>2.9221234429149069E-2</c:v>
                </c:pt>
                <c:pt idx="19">
                  <c:v>3.4829462877068472E-2</c:v>
                </c:pt>
                <c:pt idx="20">
                  <c:v>-3.3872008561467264E-2</c:v>
                </c:pt>
                <c:pt idx="21">
                  <c:v>7.0850912910777053E-2</c:v>
                </c:pt>
                <c:pt idx="22">
                  <c:v>1.3248515393890041E-3</c:v>
                </c:pt>
                <c:pt idx="23">
                  <c:v>4.7867973407632103E-2</c:v>
                </c:pt>
                <c:pt idx="24">
                  <c:v>-3.8582071043352748E-2</c:v>
                </c:pt>
                <c:pt idx="25">
                  <c:v>-1.9620689841670352E-2</c:v>
                </c:pt>
                <c:pt idx="26">
                  <c:v>4.037727523270055E-2</c:v>
                </c:pt>
                <c:pt idx="27">
                  <c:v>-7.080627994993291E-2</c:v>
                </c:pt>
                <c:pt idx="28">
                  <c:v>7.7809989062914784E-3</c:v>
                </c:pt>
                <c:pt idx="29">
                  <c:v>-6.8118661111844087E-2</c:v>
                </c:pt>
                <c:pt idx="30">
                  <c:v>8.8636573029382756E-2</c:v>
                </c:pt>
                <c:pt idx="31">
                  <c:v>-3.1572907069325154E-2</c:v>
                </c:pt>
                <c:pt idx="32">
                  <c:v>-7.7735287920331783E-2</c:v>
                </c:pt>
                <c:pt idx="33">
                  <c:v>7.7403068028294553E-2</c:v>
                </c:pt>
                <c:pt idx="34">
                  <c:v>5.3900609949391713E-2</c:v>
                </c:pt>
                <c:pt idx="35">
                  <c:v>-4.7459946624366665E-2</c:v>
                </c:pt>
                <c:pt idx="36">
                  <c:v>6.0779669962305494E-2</c:v>
                </c:pt>
                <c:pt idx="37">
                  <c:v>-1.808875308575103E-2</c:v>
                </c:pt>
                <c:pt idx="38">
                  <c:v>3.6619813017820732E-2</c:v>
                </c:pt>
                <c:pt idx="39">
                  <c:v>1.8142059644002752E-2</c:v>
                </c:pt>
                <c:pt idx="40">
                  <c:v>7.2163178061009905E-3</c:v>
                </c:pt>
                <c:pt idx="41">
                  <c:v>6.3000409988213518E-2</c:v>
                </c:pt>
                <c:pt idx="42">
                  <c:v>3.2824665517652778E-2</c:v>
                </c:pt>
                <c:pt idx="43">
                  <c:v>-1.1026351169014806E-2</c:v>
                </c:pt>
                <c:pt idx="44">
                  <c:v>-3.8859327070829751E-2</c:v>
                </c:pt>
                <c:pt idx="45">
                  <c:v>-1.4814918698735625E-2</c:v>
                </c:pt>
                <c:pt idx="46">
                  <c:v>8.4947004145934729E-2</c:v>
                </c:pt>
                <c:pt idx="47">
                  <c:v>4.4629730678944386E-2</c:v>
                </c:pt>
                <c:pt idx="48">
                  <c:v>1.9192462199018108E-2</c:v>
                </c:pt>
                <c:pt idx="49">
                  <c:v>5.1337113281101104E-2</c:v>
                </c:pt>
                <c:pt idx="50">
                  <c:v>3.2761856708839215E-2</c:v>
                </c:pt>
                <c:pt idx="51">
                  <c:v>-3.2417835092650442E-2</c:v>
                </c:pt>
                <c:pt idx="52">
                  <c:v>4.8017219100955758E-2</c:v>
                </c:pt>
                <c:pt idx="53">
                  <c:v>3.6067693679392956E-2</c:v>
                </c:pt>
                <c:pt idx="54">
                  <c:v>1.5229525452448212E-2</c:v>
                </c:pt>
                <c:pt idx="55">
                  <c:v>2.580742612534916E-2</c:v>
                </c:pt>
                <c:pt idx="56">
                  <c:v>2.3597453323809161E-2</c:v>
                </c:pt>
                <c:pt idx="57">
                  <c:v>-3.3376557015376476E-3</c:v>
                </c:pt>
                <c:pt idx="58">
                  <c:v>5.7069164809252955E-2</c:v>
                </c:pt>
                <c:pt idx="59">
                  <c:v>-1.6723110128404751E-2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E0-574E-A2AF-18AA1C118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613680"/>
        <c:axId val="2105615392"/>
      </c:scatterChart>
      <c:valAx>
        <c:axId val="210561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Excess Market Return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2105615392"/>
        <c:crosses val="autoZero"/>
        <c:crossBetween val="midCat"/>
      </c:valAx>
      <c:valAx>
        <c:axId val="210561539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Excess</a:t>
                </a:r>
                <a:r>
                  <a:rPr lang="en-US" baseline="0"/>
                  <a:t> MSFT Return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8869356446723228E-2"/>
              <c:y val="0.404857298243125"/>
            </c:manualLayout>
          </c:layout>
          <c:overlay val="0"/>
        </c:title>
        <c:numFmt formatCode="0%" sourceLinked="0"/>
        <c:majorTickMark val="out"/>
        <c:minorTickMark val="none"/>
        <c:tickLblPos val="nextTo"/>
        <c:crossAx val="210561368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622300</xdr:colOff>
      <xdr:row>21</xdr:row>
      <xdr:rowOff>165100</xdr:rowOff>
    </xdr:from>
    <xdr:to>
      <xdr:col>18</xdr:col>
      <xdr:colOff>584200</xdr:colOff>
      <xdr:row>42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FCC6A4-93CC-B099-F324-C7D2D8C8F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FA18-4E17-0F49-BC9D-87C288D975C0}">
  <dimension ref="B2:R85"/>
  <sheetViews>
    <sheetView showGridLines="0" tabSelected="1" workbookViewId="0">
      <selection activeCell="E8" sqref="E8"/>
    </sheetView>
  </sheetViews>
  <sheetFormatPr baseColWidth="10" defaultRowHeight="16" x14ac:dyDescent="0.2"/>
  <cols>
    <col min="2" max="2" width="15.83203125" bestFit="1" customWidth="1"/>
  </cols>
  <sheetData>
    <row r="2" spans="2:15" x14ac:dyDescent="0.2">
      <c r="B2" s="8" t="s">
        <v>0</v>
      </c>
      <c r="C2" s="8"/>
      <c r="E2" s="8" t="s">
        <v>40</v>
      </c>
      <c r="F2" s="8"/>
      <c r="J2" t="s">
        <v>10</v>
      </c>
    </row>
    <row r="3" spans="2:15" ht="17" thickBot="1" x14ac:dyDescent="0.25">
      <c r="B3" t="s">
        <v>1</v>
      </c>
      <c r="C3" s="4">
        <f>SLOPE($F$10:$F$69,$G$10:$G$69)</f>
        <v>0.8972686973365801</v>
      </c>
      <c r="E3" t="s">
        <v>41</v>
      </c>
      <c r="F3" t="s">
        <v>42</v>
      </c>
    </row>
    <row r="4" spans="2:15" x14ac:dyDescent="0.2">
      <c r="B4" t="s">
        <v>2</v>
      </c>
      <c r="C4" s="5">
        <f>INTERCEPT($F$10:$F$69,$G$10:$G$69)</f>
        <v>8.8475522978588971E-3</v>
      </c>
      <c r="E4" t="s">
        <v>0</v>
      </c>
      <c r="F4" t="s">
        <v>43</v>
      </c>
      <c r="J4" s="13" t="s">
        <v>11</v>
      </c>
      <c r="K4" s="13"/>
    </row>
    <row r="5" spans="2:15" x14ac:dyDescent="0.2">
      <c r="B5" t="s">
        <v>3</v>
      </c>
      <c r="C5" s="1">
        <f>STEYX($F$10:$F$69,$G$10:$G$69)</f>
        <v>4.4804740717633788E-2</v>
      </c>
      <c r="E5" t="s">
        <v>44</v>
      </c>
      <c r="F5" t="s">
        <v>45</v>
      </c>
      <c r="J5" s="10" t="s">
        <v>12</v>
      </c>
      <c r="K5" s="10">
        <v>0.72723685891435152</v>
      </c>
    </row>
    <row r="6" spans="2:15" x14ac:dyDescent="0.2">
      <c r="B6" t="s">
        <v>4</v>
      </c>
      <c r="C6" s="6">
        <f>RSQ($F$10:$F$69,$G$10:$G$69)</f>
        <v>0.52887344896361244</v>
      </c>
      <c r="J6" s="10" t="s">
        <v>13</v>
      </c>
      <c r="K6" s="10">
        <v>0.52887344896361244</v>
      </c>
    </row>
    <row r="7" spans="2:15" x14ac:dyDescent="0.2">
      <c r="B7" t="s">
        <v>5</v>
      </c>
      <c r="C7" s="1">
        <f>+STDEV($D$10:$D$69)</f>
        <v>5.2499666532110162E-2</v>
      </c>
      <c r="J7" s="10" t="s">
        <v>14</v>
      </c>
      <c r="K7" s="10">
        <v>0.52075057739401953</v>
      </c>
    </row>
    <row r="8" spans="2:15" x14ac:dyDescent="0.2">
      <c r="C8" s="1"/>
      <c r="J8" s="10" t="s">
        <v>15</v>
      </c>
      <c r="K8" s="10">
        <v>4.4804740717633802E-2</v>
      </c>
    </row>
    <row r="9" spans="2:15" ht="17" thickBot="1" x14ac:dyDescent="0.25">
      <c r="B9" s="9" t="s">
        <v>6</v>
      </c>
      <c r="C9" s="7" t="s">
        <v>0</v>
      </c>
      <c r="D9" s="7" t="s">
        <v>7</v>
      </c>
      <c r="E9" s="7" t="s">
        <v>39</v>
      </c>
      <c r="F9" s="7" t="s">
        <v>8</v>
      </c>
      <c r="G9" s="7" t="s">
        <v>9</v>
      </c>
      <c r="J9" s="11" t="s">
        <v>16</v>
      </c>
      <c r="K9" s="11">
        <v>60</v>
      </c>
    </row>
    <row r="10" spans="2:15" x14ac:dyDescent="0.2">
      <c r="B10" s="2">
        <v>43861</v>
      </c>
      <c r="C10" s="3">
        <v>7.9454999999999998E-2</v>
      </c>
      <c r="D10" s="3">
        <v>-1.6280000000000001E-3</v>
      </c>
      <c r="E10" s="3">
        <v>1.2666666666666666E-3</v>
      </c>
      <c r="F10" s="3">
        <f t="shared" ref="F10" si="0">C10-E10</f>
        <v>7.8188333333333332E-2</v>
      </c>
      <c r="G10" s="3">
        <f t="shared" ref="G10" si="1">D10-E10</f>
        <v>-2.8946666666666669E-3</v>
      </c>
    </row>
    <row r="11" spans="2:15" ht="17" thickBot="1" x14ac:dyDescent="0.25">
      <c r="B11" s="2">
        <v>43889</v>
      </c>
      <c r="C11" s="3">
        <v>-4.5291999999999999E-2</v>
      </c>
      <c r="D11" s="3">
        <v>-8.4110000000000004E-2</v>
      </c>
      <c r="E11" s="3">
        <v>2.4166666666666664E-4</v>
      </c>
      <c r="F11" s="3">
        <f t="shared" ref="F11:F69" si="2">C11-E11</f>
        <v>-4.5533666666666667E-2</v>
      </c>
      <c r="G11" s="3">
        <f t="shared" ref="G11:G69" si="3">D11-E11</f>
        <v>-8.4351666666666672E-2</v>
      </c>
      <c r="J11" t="s">
        <v>17</v>
      </c>
    </row>
    <row r="12" spans="2:15" x14ac:dyDescent="0.2">
      <c r="B12" s="2">
        <v>43921</v>
      </c>
      <c r="C12" s="3">
        <v>-2.6540999999999999E-2</v>
      </c>
      <c r="D12" s="3">
        <v>-0.12511900000000001</v>
      </c>
      <c r="E12" s="3">
        <v>1.1666666666666668E-4</v>
      </c>
      <c r="F12" s="3">
        <f t="shared" si="2"/>
        <v>-2.6657666666666666E-2</v>
      </c>
      <c r="G12" s="3">
        <f t="shared" si="3"/>
        <v>-0.12523566666666666</v>
      </c>
      <c r="J12" s="12"/>
      <c r="K12" s="12" t="s">
        <v>22</v>
      </c>
      <c r="L12" s="12" t="s">
        <v>23</v>
      </c>
      <c r="M12" s="12" t="s">
        <v>24</v>
      </c>
      <c r="N12" s="12" t="s">
        <v>25</v>
      </c>
      <c r="O12" s="12" t="s">
        <v>26</v>
      </c>
    </row>
    <row r="13" spans="2:15" x14ac:dyDescent="0.2">
      <c r="B13" s="2">
        <v>43951</v>
      </c>
      <c r="C13" s="3">
        <v>0.136326</v>
      </c>
      <c r="D13" s="3">
        <v>0.12684400000000001</v>
      </c>
      <c r="E13" s="3">
        <v>1.0833333333333334E-4</v>
      </c>
      <c r="F13" s="3">
        <f t="shared" si="2"/>
        <v>0.13621766666666668</v>
      </c>
      <c r="G13" s="3">
        <f t="shared" si="3"/>
        <v>0.12673566666666669</v>
      </c>
      <c r="J13" s="10" t="s">
        <v>18</v>
      </c>
      <c r="K13" s="10">
        <v>1</v>
      </c>
      <c r="L13" s="10">
        <v>0.13070437202826296</v>
      </c>
      <c r="M13" s="10">
        <v>0.13070437202826296</v>
      </c>
      <c r="N13" s="10">
        <v>65.109172837767645</v>
      </c>
      <c r="O13" s="10">
        <v>4.6928422541227933E-11</v>
      </c>
    </row>
    <row r="14" spans="2:15" x14ac:dyDescent="0.2">
      <c r="B14" s="2">
        <v>43980</v>
      </c>
      <c r="C14" s="3">
        <v>2.5388999999999998E-2</v>
      </c>
      <c r="D14" s="3">
        <v>4.5282000000000003E-2</v>
      </c>
      <c r="E14" s="3">
        <v>1.3333333333333334E-4</v>
      </c>
      <c r="F14" s="3">
        <f t="shared" si="2"/>
        <v>2.5255666666666666E-2</v>
      </c>
      <c r="G14" s="3">
        <f t="shared" si="3"/>
        <v>4.514866666666667E-2</v>
      </c>
      <c r="J14" s="10" t="s">
        <v>19</v>
      </c>
      <c r="K14" s="10">
        <v>58</v>
      </c>
      <c r="L14" s="10">
        <v>0.11643295786491475</v>
      </c>
      <c r="M14" s="10">
        <v>2.0074647907743922E-3</v>
      </c>
      <c r="N14" s="10"/>
      <c r="O14" s="10"/>
    </row>
    <row r="15" spans="2:15" ht="17" thickBot="1" x14ac:dyDescent="0.25">
      <c r="B15" s="2">
        <v>44012</v>
      </c>
      <c r="C15" s="3">
        <v>0.110559</v>
      </c>
      <c r="D15" s="3">
        <v>1.8388000000000002E-2</v>
      </c>
      <c r="E15" s="3">
        <v>1.0833333333333334E-4</v>
      </c>
      <c r="F15" s="3">
        <f t="shared" si="2"/>
        <v>0.11045066666666667</v>
      </c>
      <c r="G15" s="3">
        <f t="shared" si="3"/>
        <v>1.827966666666667E-2</v>
      </c>
      <c r="J15" s="11" t="s">
        <v>20</v>
      </c>
      <c r="K15" s="11">
        <v>59</v>
      </c>
      <c r="L15" s="11">
        <v>0.24713732989317772</v>
      </c>
      <c r="M15" s="11"/>
      <c r="N15" s="11"/>
      <c r="O15" s="11"/>
    </row>
    <row r="16" spans="2:15" ht="17" thickBot="1" x14ac:dyDescent="0.25">
      <c r="B16" s="2">
        <v>44043</v>
      </c>
      <c r="C16" s="3">
        <v>7.3709999999999999E-3</v>
      </c>
      <c r="D16" s="3">
        <v>5.5100999999999997E-2</v>
      </c>
      <c r="E16" s="3">
        <v>8.3333333333333344E-5</v>
      </c>
      <c r="F16" s="3">
        <f t="shared" si="2"/>
        <v>7.2876666666666663E-3</v>
      </c>
      <c r="G16" s="3">
        <f t="shared" si="3"/>
        <v>5.5017666666666666E-2</v>
      </c>
    </row>
    <row r="17" spans="2:18" x14ac:dyDescent="0.2">
      <c r="B17" s="2">
        <v>44074</v>
      </c>
      <c r="C17" s="3">
        <v>0.10258</v>
      </c>
      <c r="D17" s="3">
        <v>7.0065000000000002E-2</v>
      </c>
      <c r="E17" s="3">
        <v>9.1666666666666668E-5</v>
      </c>
      <c r="F17" s="3">
        <f t="shared" si="2"/>
        <v>0.10248833333333333</v>
      </c>
      <c r="G17" s="3">
        <f t="shared" si="3"/>
        <v>6.9973333333333332E-2</v>
      </c>
      <c r="J17" s="12"/>
      <c r="K17" s="12" t="s">
        <v>27</v>
      </c>
      <c r="L17" s="12" t="s">
        <v>15</v>
      </c>
      <c r="M17" s="12" t="s">
        <v>28</v>
      </c>
      <c r="N17" s="12" t="s">
        <v>29</v>
      </c>
      <c r="O17" s="12" t="s">
        <v>30</v>
      </c>
      <c r="P17" s="12" t="s">
        <v>31</v>
      </c>
      <c r="Q17" s="12" t="s">
        <v>32</v>
      </c>
      <c r="R17" s="12" t="s">
        <v>33</v>
      </c>
    </row>
    <row r="18" spans="2:18" x14ac:dyDescent="0.2">
      <c r="B18" s="2">
        <v>44104</v>
      </c>
      <c r="C18" s="3">
        <v>-6.7396999999999999E-2</v>
      </c>
      <c r="D18" s="3">
        <v>-3.9227999999999999E-2</v>
      </c>
      <c r="E18" s="3">
        <v>8.3333333333333344E-5</v>
      </c>
      <c r="F18" s="3">
        <f t="shared" si="2"/>
        <v>-6.7480333333333337E-2</v>
      </c>
      <c r="G18" s="3">
        <f t="shared" si="3"/>
        <v>-3.931133333333333E-2</v>
      </c>
      <c r="J18" s="10" t="s">
        <v>21</v>
      </c>
      <c r="K18" s="10">
        <v>8.8475522978588936E-3</v>
      </c>
      <c r="L18" s="10">
        <v>5.875625077306431E-3</v>
      </c>
      <c r="M18" s="10">
        <v>1.505806136615321</v>
      </c>
      <c r="N18" s="10">
        <v>0.13754404135858059</v>
      </c>
      <c r="O18" s="10">
        <v>-2.9137891496675886E-3</v>
      </c>
      <c r="P18" s="10">
        <v>2.0608893745385375E-2</v>
      </c>
      <c r="Q18" s="10">
        <v>-2.9137891496675886E-3</v>
      </c>
      <c r="R18" s="10">
        <v>2.0608893745385375E-2</v>
      </c>
    </row>
    <row r="19" spans="2:18" ht="17" thickBot="1" x14ac:dyDescent="0.25">
      <c r="B19" s="2">
        <v>44134</v>
      </c>
      <c r="C19" s="3">
        <v>-3.737E-2</v>
      </c>
      <c r="D19" s="3">
        <v>-2.7666E-2</v>
      </c>
      <c r="E19" s="3">
        <v>7.4999999999999993E-5</v>
      </c>
      <c r="F19" s="3">
        <f t="shared" si="2"/>
        <v>-3.7444999999999999E-2</v>
      </c>
      <c r="G19" s="3">
        <f t="shared" si="3"/>
        <v>-2.7740999999999998E-2</v>
      </c>
      <c r="J19" s="11" t="s">
        <v>34</v>
      </c>
      <c r="K19" s="11">
        <v>0.89726869733658043</v>
      </c>
      <c r="L19" s="11">
        <v>0.11119913986448474</v>
      </c>
      <c r="M19" s="11">
        <v>8.0690255197122625</v>
      </c>
      <c r="N19" s="11">
        <v>4.6928422541226756E-11</v>
      </c>
      <c r="O19" s="11">
        <v>0.67467943484792992</v>
      </c>
      <c r="P19" s="11">
        <v>1.119857959825231</v>
      </c>
      <c r="Q19" s="11">
        <v>0.67467943484792992</v>
      </c>
      <c r="R19" s="11">
        <v>1.119857959825231</v>
      </c>
    </row>
    <row r="20" spans="2:18" x14ac:dyDescent="0.2">
      <c r="B20" s="2">
        <v>44165</v>
      </c>
      <c r="C20" s="3">
        <v>6.0058E-2</v>
      </c>
      <c r="D20" s="3">
        <v>0.107546</v>
      </c>
      <c r="E20" s="3">
        <v>7.4999999999999993E-5</v>
      </c>
      <c r="F20" s="3">
        <f t="shared" si="2"/>
        <v>5.9983000000000002E-2</v>
      </c>
      <c r="G20" s="3">
        <f t="shared" si="3"/>
        <v>0.107471</v>
      </c>
    </row>
    <row r="21" spans="2:18" x14ac:dyDescent="0.2">
      <c r="B21" s="2">
        <v>44196</v>
      </c>
      <c r="C21" s="3">
        <v>3.9005999999999999E-2</v>
      </c>
      <c r="D21" s="3">
        <v>3.7121000000000001E-2</v>
      </c>
      <c r="E21" s="3">
        <v>6.666666666666667E-5</v>
      </c>
      <c r="F21" s="3">
        <f t="shared" si="2"/>
        <v>3.8939333333333333E-2</v>
      </c>
      <c r="G21" s="3">
        <f t="shared" si="3"/>
        <v>3.7054333333333335E-2</v>
      </c>
    </row>
    <row r="22" spans="2:18" x14ac:dyDescent="0.2">
      <c r="B22" s="2">
        <v>44225</v>
      </c>
      <c r="C22" s="3">
        <v>4.2892E-2</v>
      </c>
      <c r="D22" s="3">
        <v>-1.1136999999999999E-2</v>
      </c>
      <c r="E22" s="3">
        <v>3.3333333333333335E-5</v>
      </c>
      <c r="F22" s="3">
        <f t="shared" si="2"/>
        <v>4.2858666666666663E-2</v>
      </c>
      <c r="G22" s="3">
        <f t="shared" si="3"/>
        <v>-1.1170333333333332E-2</v>
      </c>
    </row>
    <row r="23" spans="2:18" x14ac:dyDescent="0.2">
      <c r="B23" s="2">
        <v>44253</v>
      </c>
      <c r="C23" s="3">
        <v>4.2249999999999996E-3</v>
      </c>
      <c r="D23" s="3">
        <v>2.6091E-2</v>
      </c>
      <c r="E23" s="3">
        <v>2.4999999999999998E-5</v>
      </c>
      <c r="F23" s="3">
        <f t="shared" si="2"/>
        <v>4.1999999999999997E-3</v>
      </c>
      <c r="G23" s="3">
        <f t="shared" si="3"/>
        <v>2.6065999999999999E-2</v>
      </c>
      <c r="J23" t="s">
        <v>35</v>
      </c>
    </row>
    <row r="24" spans="2:18" ht="17" thickBot="1" x14ac:dyDescent="0.25">
      <c r="B24" s="2">
        <v>44286</v>
      </c>
      <c r="C24" s="3">
        <v>1.4588E-2</v>
      </c>
      <c r="D24" s="3">
        <v>4.2438999999999998E-2</v>
      </c>
      <c r="E24" s="3">
        <v>1.6666666666666667E-5</v>
      </c>
      <c r="F24" s="3">
        <f t="shared" si="2"/>
        <v>1.4571333333333334E-2</v>
      </c>
      <c r="G24" s="3">
        <f t="shared" si="3"/>
        <v>4.2422333333333333E-2</v>
      </c>
    </row>
    <row r="25" spans="2:18" x14ac:dyDescent="0.2">
      <c r="B25" s="2">
        <v>44316</v>
      </c>
      <c r="C25" s="3">
        <v>6.9601999999999997E-2</v>
      </c>
      <c r="D25" s="3">
        <v>5.2424999999999999E-2</v>
      </c>
      <c r="E25" s="3">
        <v>1.6666666666666667E-5</v>
      </c>
      <c r="F25" s="3">
        <f t="shared" si="2"/>
        <v>6.9585333333333332E-2</v>
      </c>
      <c r="G25" s="3">
        <f t="shared" si="3"/>
        <v>5.2408333333333335E-2</v>
      </c>
      <c r="J25" s="12" t="s">
        <v>36</v>
      </c>
      <c r="K25" s="12" t="s">
        <v>37</v>
      </c>
      <c r="L25" s="12" t="s">
        <v>38</v>
      </c>
    </row>
    <row r="26" spans="2:18" x14ac:dyDescent="0.2">
      <c r="B26" s="2">
        <v>44344</v>
      </c>
      <c r="C26" s="3">
        <v>-7.6930000000000002E-3</v>
      </c>
      <c r="D26" s="3">
        <v>5.4869999999999997E-3</v>
      </c>
      <c r="E26" s="3">
        <v>3.3333333333333335E-5</v>
      </c>
      <c r="F26" s="3">
        <f t="shared" si="2"/>
        <v>-7.7263333333333333E-3</v>
      </c>
      <c r="G26" s="3">
        <f t="shared" si="3"/>
        <v>5.4536666666666666E-3</v>
      </c>
      <c r="J26" s="10">
        <v>1</v>
      </c>
      <c r="K26" s="10">
        <v>6.2502585086352718E-3</v>
      </c>
      <c r="L26" s="10">
        <v>7.1938074824698064E-2</v>
      </c>
    </row>
    <row r="27" spans="2:18" x14ac:dyDescent="0.2">
      <c r="B27" s="2">
        <v>44377</v>
      </c>
      <c r="C27" s="3">
        <v>8.4988999999999995E-2</v>
      </c>
      <c r="D27" s="3">
        <v>2.2214000000000001E-2</v>
      </c>
      <c r="E27" s="3">
        <v>4.1666666666666672E-5</v>
      </c>
      <c r="F27" s="3">
        <f t="shared" si="2"/>
        <v>8.4947333333333333E-2</v>
      </c>
      <c r="G27" s="3">
        <f t="shared" si="3"/>
        <v>2.2172333333333336E-2</v>
      </c>
      <c r="J27" s="10">
        <v>2</v>
      </c>
      <c r="K27" s="10">
        <v>-6.6838557770310558E-2</v>
      </c>
      <c r="L27" s="10">
        <v>2.1304891103643891E-2</v>
      </c>
    </row>
    <row r="28" spans="2:18" x14ac:dyDescent="0.2">
      <c r="B28" s="2">
        <v>44407</v>
      </c>
      <c r="C28" s="3">
        <v>5.1716999999999999E-2</v>
      </c>
      <c r="D28" s="3">
        <v>2.2748000000000001E-2</v>
      </c>
      <c r="E28" s="3">
        <v>4.1666666666666672E-5</v>
      </c>
      <c r="F28" s="3">
        <f t="shared" si="2"/>
        <v>5.167533333333333E-2</v>
      </c>
      <c r="G28" s="3">
        <f t="shared" si="3"/>
        <v>2.2706333333333335E-2</v>
      </c>
      <c r="J28" s="10">
        <v>3</v>
      </c>
      <c r="K28" s="10">
        <v>-0.1035224911922193</v>
      </c>
      <c r="L28" s="10">
        <v>7.6864824525552641E-2</v>
      </c>
    </row>
    <row r="29" spans="2:18" x14ac:dyDescent="0.2">
      <c r="B29" s="2">
        <v>44439</v>
      </c>
      <c r="C29" s="3">
        <v>6.1527999999999999E-2</v>
      </c>
      <c r="D29" s="3">
        <v>2.8989999999999998E-2</v>
      </c>
      <c r="E29" s="3">
        <v>3.3333333333333335E-5</v>
      </c>
      <c r="F29" s="3">
        <f t="shared" si="2"/>
        <v>6.1494666666666663E-2</v>
      </c>
      <c r="G29" s="3">
        <f t="shared" si="3"/>
        <v>2.8956666666666665E-2</v>
      </c>
      <c r="J29" s="10">
        <v>4</v>
      </c>
      <c r="K29" s="10">
        <v>0.12256349883394199</v>
      </c>
      <c r="L29" s="10">
        <v>1.365416783272469E-2</v>
      </c>
    </row>
    <row r="30" spans="2:18" x14ac:dyDescent="0.2">
      <c r="B30" s="2">
        <v>44469</v>
      </c>
      <c r="C30" s="3">
        <v>-6.6118999999999997E-2</v>
      </c>
      <c r="D30" s="3">
        <v>-4.7569E-2</v>
      </c>
      <c r="E30" s="3">
        <v>4.1666666666666672E-5</v>
      </c>
      <c r="F30" s="3">
        <f t="shared" si="2"/>
        <v>-6.6160666666666659E-2</v>
      </c>
      <c r="G30" s="3">
        <f t="shared" si="3"/>
        <v>-4.7610666666666669E-2</v>
      </c>
      <c r="J30" s="10">
        <v>5</v>
      </c>
      <c r="K30" s="10">
        <v>4.9358037624342391E-2</v>
      </c>
      <c r="L30" s="10">
        <v>-2.4102370957675725E-2</v>
      </c>
    </row>
    <row r="31" spans="2:18" x14ac:dyDescent="0.2">
      <c r="B31" s="2">
        <v>44498</v>
      </c>
      <c r="C31" s="3">
        <v>0.176291</v>
      </c>
      <c r="D31" s="3">
        <v>6.9143999999999997E-2</v>
      </c>
      <c r="E31" s="3">
        <v>4.1666666666666672E-5</v>
      </c>
      <c r="F31" s="3">
        <f t="shared" si="2"/>
        <v>0.17624933333333334</v>
      </c>
      <c r="G31" s="3">
        <f t="shared" si="3"/>
        <v>6.9102333333333335E-2</v>
      </c>
      <c r="J31" s="10">
        <v>6</v>
      </c>
      <c r="K31" s="10">
        <v>2.5249324995605806E-2</v>
      </c>
      <c r="L31" s="10">
        <v>8.520134167106086E-2</v>
      </c>
    </row>
    <row r="32" spans="2:18" x14ac:dyDescent="0.2">
      <c r="B32" s="2">
        <v>44530</v>
      </c>
      <c r="C32" s="3">
        <v>-1.2359999999999999E-3</v>
      </c>
      <c r="D32" s="3">
        <v>-8.3339999999999994E-3</v>
      </c>
      <c r="E32" s="3">
        <v>4.9999999999999996E-5</v>
      </c>
      <c r="F32" s="3">
        <f t="shared" si="2"/>
        <v>-1.2859999999999998E-3</v>
      </c>
      <c r="G32" s="3">
        <f t="shared" si="3"/>
        <v>-8.3839999999999991E-3</v>
      </c>
      <c r="J32" s="10">
        <v>7</v>
      </c>
      <c r="K32" s="10">
        <v>5.82131823983571E-2</v>
      </c>
      <c r="L32" s="10">
        <v>-5.0925515731690435E-2</v>
      </c>
    </row>
    <row r="33" spans="2:12" x14ac:dyDescent="0.2">
      <c r="B33" s="2">
        <v>44561</v>
      </c>
      <c r="C33" s="3">
        <v>1.7333000000000001E-2</v>
      </c>
      <c r="D33" s="3">
        <v>4.3612999999999999E-2</v>
      </c>
      <c r="E33" s="3">
        <v>1.25E-4</v>
      </c>
      <c r="F33" s="3">
        <f t="shared" si="2"/>
        <v>1.7208000000000001E-2</v>
      </c>
      <c r="G33" s="3">
        <f t="shared" si="3"/>
        <v>4.3487999999999999E-2</v>
      </c>
      <c r="J33" s="10">
        <v>8</v>
      </c>
      <c r="K33" s="10">
        <v>7.1632433946157217E-2</v>
      </c>
      <c r="L33" s="10">
        <v>3.0855899387176117E-2</v>
      </c>
    </row>
    <row r="34" spans="2:12" x14ac:dyDescent="0.2">
      <c r="B34" s="2">
        <v>44592</v>
      </c>
      <c r="C34" s="3">
        <v>-7.5344999999999995E-2</v>
      </c>
      <c r="D34" s="3">
        <v>-5.2585E-2</v>
      </c>
      <c r="E34" s="3">
        <v>2.7500000000000002E-4</v>
      </c>
      <c r="F34" s="3">
        <f t="shared" si="2"/>
        <v>-7.5619999999999993E-2</v>
      </c>
      <c r="G34" s="3">
        <f t="shared" si="3"/>
        <v>-5.2859999999999997E-2</v>
      </c>
      <c r="J34" s="10">
        <v>9</v>
      </c>
      <c r="K34" s="10">
        <v>-2.6425276552705195E-2</v>
      </c>
      <c r="L34" s="10">
        <v>-4.1055056780628138E-2</v>
      </c>
    </row>
    <row r="35" spans="2:12" x14ac:dyDescent="0.2">
      <c r="B35" s="2">
        <v>44620</v>
      </c>
      <c r="C35" s="3">
        <v>-3.7205000000000002E-2</v>
      </c>
      <c r="D35" s="3">
        <v>-3.1361E-2</v>
      </c>
      <c r="E35" s="3">
        <v>3.6666666666666667E-4</v>
      </c>
      <c r="F35" s="3">
        <f t="shared" si="2"/>
        <v>-3.757166666666667E-2</v>
      </c>
      <c r="G35" s="3">
        <f t="shared" si="3"/>
        <v>-3.1727666666666668E-2</v>
      </c>
      <c r="J35" s="10">
        <v>10</v>
      </c>
      <c r="K35" s="10">
        <v>-1.6043578634955181E-2</v>
      </c>
      <c r="L35" s="10">
        <v>-2.1401421365044818E-2</v>
      </c>
    </row>
    <row r="36" spans="2:12" x14ac:dyDescent="0.2">
      <c r="B36" s="2">
        <v>44651</v>
      </c>
      <c r="C36" s="3">
        <v>3.1862000000000001E-2</v>
      </c>
      <c r="D36" s="3">
        <v>3.5772999999999999E-2</v>
      </c>
      <c r="E36" s="3">
        <v>6.333333333333333E-4</v>
      </c>
      <c r="F36" s="3">
        <f t="shared" si="2"/>
        <v>3.1228666666666668E-2</v>
      </c>
      <c r="G36" s="3">
        <f t="shared" si="3"/>
        <v>3.5139666666666666E-2</v>
      </c>
      <c r="J36" s="10">
        <v>11</v>
      </c>
      <c r="K36" s="10">
        <v>0.10527791646931853</v>
      </c>
      <c r="L36" s="10">
        <v>-4.5294916469318526E-2</v>
      </c>
    </row>
    <row r="37" spans="2:12" x14ac:dyDescent="0.2">
      <c r="B37" s="2">
        <v>44680</v>
      </c>
      <c r="C37" s="3">
        <v>-9.9866999999999997E-2</v>
      </c>
      <c r="D37" s="3">
        <v>-8.7956999999999994E-2</v>
      </c>
      <c r="E37" s="3">
        <v>8.166666666666666E-4</v>
      </c>
      <c r="F37" s="3">
        <f t="shared" si="2"/>
        <v>-0.10068366666666666</v>
      </c>
      <c r="G37" s="3">
        <f t="shared" si="3"/>
        <v>-8.8773666666666654E-2</v>
      </c>
      <c r="J37" s="10">
        <v>12</v>
      </c>
      <c r="K37" s="10">
        <v>4.2095245698534324E-2</v>
      </c>
      <c r="L37" s="10">
        <v>-3.1559123652009913E-3</v>
      </c>
    </row>
    <row r="38" spans="2:12" x14ac:dyDescent="0.2">
      <c r="B38" s="2">
        <v>44712</v>
      </c>
      <c r="C38" s="3">
        <v>-1.8124999999999999E-2</v>
      </c>
      <c r="D38" s="3">
        <v>5.3000000000000001E-5</v>
      </c>
      <c r="E38" s="3">
        <v>1.2416666666666667E-3</v>
      </c>
      <c r="F38" s="3">
        <f t="shared" si="2"/>
        <v>-1.9366666666666664E-2</v>
      </c>
      <c r="G38" s="3">
        <f t="shared" si="3"/>
        <v>-1.1886666666666666E-3</v>
      </c>
      <c r="J38" s="10">
        <v>13</v>
      </c>
      <c r="K38" s="10">
        <v>-1.1752381409564879E-3</v>
      </c>
      <c r="L38" s="10">
        <v>4.4033904807623148E-2</v>
      </c>
    </row>
    <row r="39" spans="2:12" x14ac:dyDescent="0.2">
      <c r="B39" s="2">
        <v>44742</v>
      </c>
      <c r="C39" s="3">
        <v>-5.5321000000000002E-2</v>
      </c>
      <c r="D39" s="3">
        <v>-8.3919999999999995E-2</v>
      </c>
      <c r="E39" s="3">
        <v>1.8583333333333334E-3</v>
      </c>
      <c r="F39" s="3">
        <f t="shared" si="2"/>
        <v>-5.7179333333333332E-2</v>
      </c>
      <c r="G39" s="3">
        <f t="shared" si="3"/>
        <v>-8.5778333333333331E-2</v>
      </c>
      <c r="J39" s="10">
        <v>14</v>
      </c>
      <c r="K39" s="10">
        <v>3.2235758162634201E-2</v>
      </c>
      <c r="L39" s="10">
        <v>-2.8035758162634202E-2</v>
      </c>
    </row>
    <row r="40" spans="2:12" x14ac:dyDescent="0.2">
      <c r="B40" s="2">
        <v>44771</v>
      </c>
      <c r="C40" s="3">
        <v>9.3096999999999999E-2</v>
      </c>
      <c r="D40" s="3">
        <v>9.1116000000000003E-2</v>
      </c>
      <c r="E40" s="3">
        <v>2.1916666666666664E-3</v>
      </c>
      <c r="F40" s="3">
        <f t="shared" si="2"/>
        <v>9.0905333333333338E-2</v>
      </c>
      <c r="G40" s="3">
        <f t="shared" si="3"/>
        <v>8.8924333333333341E-2</v>
      </c>
      <c r="J40" s="10">
        <v>15</v>
      </c>
      <c r="K40" s="10">
        <v>4.6911784065837084E-2</v>
      </c>
      <c r="L40" s="10">
        <v>-3.2340450732503752E-2</v>
      </c>
    </row>
    <row r="41" spans="2:12" x14ac:dyDescent="0.2">
      <c r="B41" s="2">
        <v>44804</v>
      </c>
      <c r="C41" s="3">
        <v>-6.6432000000000005E-2</v>
      </c>
      <c r="D41" s="3">
        <v>-4.2439999999999999E-2</v>
      </c>
      <c r="E41" s="3">
        <v>2.6083333333333332E-3</v>
      </c>
      <c r="F41" s="3">
        <f t="shared" si="2"/>
        <v>-6.9040333333333342E-2</v>
      </c>
      <c r="G41" s="3">
        <f t="shared" si="3"/>
        <v>-4.5048333333333329E-2</v>
      </c>
      <c r="J41" s="10">
        <v>16</v>
      </c>
      <c r="K41" s="10">
        <v>5.5871909277440179E-2</v>
      </c>
      <c r="L41" s="10">
        <v>1.3713424055893153E-2</v>
      </c>
    </row>
    <row r="42" spans="2:12" x14ac:dyDescent="0.2">
      <c r="B42" s="2">
        <v>44834</v>
      </c>
      <c r="C42" s="3">
        <v>-0.109267</v>
      </c>
      <c r="D42" s="3">
        <v>-9.3396000000000007E-2</v>
      </c>
      <c r="E42" s="3">
        <v>3.1000000000000003E-3</v>
      </c>
      <c r="F42" s="3">
        <f t="shared" si="2"/>
        <v>-0.11236700000000001</v>
      </c>
      <c r="G42" s="3">
        <f t="shared" si="3"/>
        <v>-9.6496000000000012E-2</v>
      </c>
      <c r="J42" s="10">
        <v>17</v>
      </c>
      <c r="K42" s="10">
        <v>1.3740956683566825E-2</v>
      </c>
      <c r="L42" s="10">
        <v>-2.1467290016900158E-2</v>
      </c>
    </row>
    <row r="43" spans="2:12" x14ac:dyDescent="0.2">
      <c r="B43" s="2">
        <v>44865</v>
      </c>
      <c r="C43" s="3">
        <v>-3.3059999999999999E-3</v>
      </c>
      <c r="D43" s="3">
        <v>7.9863000000000003E-2</v>
      </c>
      <c r="E43" s="3">
        <v>3.4583333333333337E-3</v>
      </c>
      <c r="F43" s="3">
        <f t="shared" si="2"/>
        <v>-6.764333333333334E-3</v>
      </c>
      <c r="G43" s="3">
        <f t="shared" si="3"/>
        <v>7.6404666666666676E-2</v>
      </c>
      <c r="J43" s="10">
        <v>18</v>
      </c>
      <c r="K43" s="10">
        <v>2.8742092944771334E-2</v>
      </c>
      <c r="L43" s="10">
        <v>5.6205240388561999E-2</v>
      </c>
    </row>
    <row r="44" spans="2:12" x14ac:dyDescent="0.2">
      <c r="B44" s="2">
        <v>44895</v>
      </c>
      <c r="C44" s="3">
        <v>0.10205500000000001</v>
      </c>
      <c r="D44" s="3">
        <v>5.3753000000000002E-2</v>
      </c>
      <c r="E44" s="3">
        <v>3.5416666666666665E-3</v>
      </c>
      <c r="F44" s="3">
        <f t="shared" si="2"/>
        <v>9.8513333333333342E-2</v>
      </c>
      <c r="G44" s="3">
        <f t="shared" si="3"/>
        <v>5.0211333333333337E-2</v>
      </c>
      <c r="J44" s="10">
        <v>19</v>
      </c>
      <c r="K44" s="10">
        <v>2.9221234429149069E-2</v>
      </c>
      <c r="L44" s="10">
        <v>2.2454098904184261E-2</v>
      </c>
    </row>
    <row r="45" spans="2:12" x14ac:dyDescent="0.2">
      <c r="B45" s="2">
        <v>44925</v>
      </c>
      <c r="C45" s="3">
        <v>-6.0045000000000001E-2</v>
      </c>
      <c r="D45" s="3">
        <v>-5.8971000000000003E-2</v>
      </c>
      <c r="E45" s="3">
        <v>3.7833333333333334E-3</v>
      </c>
      <c r="F45" s="3">
        <f t="shared" si="2"/>
        <v>-6.3828333333333334E-2</v>
      </c>
      <c r="G45" s="3">
        <f t="shared" si="3"/>
        <v>-6.2754333333333343E-2</v>
      </c>
      <c r="J45" s="10">
        <v>20</v>
      </c>
      <c r="K45" s="10">
        <v>3.4829462877068472E-2</v>
      </c>
      <c r="L45" s="10">
        <v>2.6665203789598191E-2</v>
      </c>
    </row>
    <row r="46" spans="2:12" x14ac:dyDescent="0.2">
      <c r="B46" s="2">
        <v>44957</v>
      </c>
      <c r="C46" s="3">
        <v>3.3316999999999999E-2</v>
      </c>
      <c r="D46" s="3">
        <v>6.1753000000000002E-2</v>
      </c>
      <c r="E46" s="3">
        <v>3.8750000000000004E-3</v>
      </c>
      <c r="F46" s="3">
        <f t="shared" si="2"/>
        <v>2.9441999999999999E-2</v>
      </c>
      <c r="G46" s="3">
        <f t="shared" si="3"/>
        <v>5.7877999999999999E-2</v>
      </c>
      <c r="J46" s="10">
        <v>21</v>
      </c>
      <c r="K46" s="10">
        <v>-3.3872008561467264E-2</v>
      </c>
      <c r="L46" s="10">
        <v>-3.2288658105199396E-2</v>
      </c>
    </row>
    <row r="47" spans="2:12" x14ac:dyDescent="0.2">
      <c r="B47" s="2">
        <v>44985</v>
      </c>
      <c r="C47" s="3">
        <v>9.2409999999999992E-3</v>
      </c>
      <c r="D47" s="3">
        <v>-2.6112E-2</v>
      </c>
      <c r="E47" s="3">
        <v>3.908333333333334E-3</v>
      </c>
      <c r="F47" s="3">
        <f t="shared" si="2"/>
        <v>5.3326666666666652E-3</v>
      </c>
      <c r="G47" s="3">
        <f t="shared" si="3"/>
        <v>-3.0020333333333333E-2</v>
      </c>
      <c r="J47" s="10">
        <v>22</v>
      </c>
      <c r="K47" s="10">
        <v>7.0850912910777053E-2</v>
      </c>
      <c r="L47" s="10">
        <v>0.10539842042255629</v>
      </c>
    </row>
    <row r="48" spans="2:12" x14ac:dyDescent="0.2">
      <c r="B48" s="2">
        <v>45016</v>
      </c>
      <c r="C48" s="3">
        <v>0.15588199999999999</v>
      </c>
      <c r="D48" s="3">
        <v>3.5052E-2</v>
      </c>
      <c r="E48" s="3">
        <v>4.1000000000000003E-3</v>
      </c>
      <c r="F48" s="3">
        <f t="shared" si="2"/>
        <v>0.151782</v>
      </c>
      <c r="G48" s="3">
        <f t="shared" si="3"/>
        <v>3.0952E-2</v>
      </c>
      <c r="J48" s="10">
        <v>23</v>
      </c>
      <c r="K48" s="10">
        <v>1.3248515393890041E-3</v>
      </c>
      <c r="L48" s="10">
        <v>-2.6108515393890039E-3</v>
      </c>
    </row>
    <row r="49" spans="2:12" x14ac:dyDescent="0.2">
      <c r="B49" s="2">
        <v>45044</v>
      </c>
      <c r="C49" s="3">
        <v>6.5765000000000004E-2</v>
      </c>
      <c r="D49" s="3">
        <v>1.4642000000000001E-2</v>
      </c>
      <c r="E49" s="3">
        <v>4.2833333333333334E-3</v>
      </c>
      <c r="F49" s="3">
        <f t="shared" si="2"/>
        <v>6.1481666666666671E-2</v>
      </c>
      <c r="G49" s="3">
        <f t="shared" si="3"/>
        <v>1.0358666666666667E-2</v>
      </c>
      <c r="J49" s="10">
        <v>24</v>
      </c>
      <c r="K49" s="10">
        <v>4.7867973407632103E-2</v>
      </c>
      <c r="L49" s="10">
        <v>-3.0659973407632102E-2</v>
      </c>
    </row>
    <row r="50" spans="2:12" x14ac:dyDescent="0.2">
      <c r="B50" s="2">
        <v>45077</v>
      </c>
      <c r="C50" s="3">
        <v>7.0982000000000003E-2</v>
      </c>
      <c r="D50" s="3">
        <v>2.4819999999999998E-3</v>
      </c>
      <c r="E50" s="3">
        <v>4.3E-3</v>
      </c>
      <c r="F50" s="3">
        <f t="shared" si="2"/>
        <v>6.6682000000000005E-2</v>
      </c>
      <c r="G50" s="3">
        <f t="shared" si="3"/>
        <v>-1.8180000000000002E-3</v>
      </c>
      <c r="J50" s="10">
        <v>25</v>
      </c>
      <c r="K50" s="10">
        <v>-3.8582071043352748E-2</v>
      </c>
      <c r="L50" s="10">
        <v>-3.7037928956647245E-2</v>
      </c>
    </row>
    <row r="51" spans="2:12" x14ac:dyDescent="0.2">
      <c r="B51" s="2">
        <v>45107</v>
      </c>
      <c r="C51" s="3">
        <v>3.6998999999999997E-2</v>
      </c>
      <c r="D51" s="3">
        <v>6.4727999999999994E-2</v>
      </c>
      <c r="E51" s="3">
        <v>4.3750000000000004E-3</v>
      </c>
      <c r="F51" s="3">
        <f t="shared" si="2"/>
        <v>3.2624E-2</v>
      </c>
      <c r="G51" s="3">
        <f t="shared" si="3"/>
        <v>6.035299999999999E-2</v>
      </c>
      <c r="J51" s="10">
        <v>26</v>
      </c>
      <c r="K51" s="10">
        <v>-1.9620689841670352E-2</v>
      </c>
      <c r="L51" s="10">
        <v>-1.7950976824996318E-2</v>
      </c>
    </row>
    <row r="52" spans="2:12" x14ac:dyDescent="0.2">
      <c r="B52" s="2">
        <v>45138</v>
      </c>
      <c r="C52" s="3">
        <v>-1.3566999999999999E-2</v>
      </c>
      <c r="D52" s="3">
        <v>3.1139E-2</v>
      </c>
      <c r="E52" s="3">
        <v>4.4166666666666668E-3</v>
      </c>
      <c r="F52" s="3">
        <f t="shared" si="2"/>
        <v>-1.7983666666666665E-2</v>
      </c>
      <c r="G52" s="3">
        <f t="shared" si="3"/>
        <v>2.6722333333333334E-2</v>
      </c>
      <c r="J52" s="10">
        <v>27</v>
      </c>
      <c r="K52" s="10">
        <v>4.037727523270055E-2</v>
      </c>
      <c r="L52" s="10">
        <v>-9.148608566033882E-3</v>
      </c>
    </row>
    <row r="53" spans="2:12" x14ac:dyDescent="0.2">
      <c r="B53" s="2">
        <v>45169</v>
      </c>
      <c r="C53" s="3">
        <v>-2.2266999999999999E-2</v>
      </c>
      <c r="D53" s="3">
        <v>-1.7715999999999999E-2</v>
      </c>
      <c r="E53" s="3">
        <v>4.4333333333333334E-3</v>
      </c>
      <c r="F53" s="3">
        <f t="shared" si="2"/>
        <v>-2.6700333333333333E-2</v>
      </c>
      <c r="G53" s="3">
        <f t="shared" si="3"/>
        <v>-2.2149333333333333E-2</v>
      </c>
      <c r="J53" s="10">
        <v>28</v>
      </c>
      <c r="K53" s="10">
        <v>-7.080627994993291E-2</v>
      </c>
      <c r="L53" s="10">
        <v>-2.9877386716733748E-2</v>
      </c>
    </row>
    <row r="54" spans="2:12" x14ac:dyDescent="0.2">
      <c r="B54" s="2">
        <v>45198</v>
      </c>
      <c r="C54" s="3">
        <v>-3.6643000000000002E-2</v>
      </c>
      <c r="D54" s="3">
        <v>-4.8718999999999998E-2</v>
      </c>
      <c r="E54" s="3">
        <v>4.45E-3</v>
      </c>
      <c r="F54" s="3">
        <f t="shared" si="2"/>
        <v>-4.1093000000000005E-2</v>
      </c>
      <c r="G54" s="3">
        <f t="shared" si="3"/>
        <v>-5.3169000000000001E-2</v>
      </c>
      <c r="J54" s="10">
        <v>29</v>
      </c>
      <c r="K54" s="10">
        <v>7.7809989062914784E-3</v>
      </c>
      <c r="L54" s="10">
        <v>-2.7147665572958141E-2</v>
      </c>
    </row>
    <row r="55" spans="2:12" x14ac:dyDescent="0.2">
      <c r="B55" s="2">
        <v>45230</v>
      </c>
      <c r="C55" s="3">
        <v>7.0815000000000003E-2</v>
      </c>
      <c r="D55" s="3">
        <v>-2.198E-2</v>
      </c>
      <c r="E55" s="3">
        <v>4.3916666666666661E-3</v>
      </c>
      <c r="F55" s="3">
        <f t="shared" si="2"/>
        <v>6.6423333333333334E-2</v>
      </c>
      <c r="G55" s="3">
        <f t="shared" si="3"/>
        <v>-2.6371666666666665E-2</v>
      </c>
      <c r="J55" s="10">
        <v>30</v>
      </c>
      <c r="K55" s="10">
        <v>-6.8118661111844087E-2</v>
      </c>
      <c r="L55" s="10">
        <v>1.0939327778510755E-2</v>
      </c>
    </row>
    <row r="56" spans="2:12" x14ac:dyDescent="0.2">
      <c r="B56" s="2">
        <v>45260</v>
      </c>
      <c r="C56" s="3">
        <v>0.122889</v>
      </c>
      <c r="D56" s="3">
        <v>8.9178999999999994E-2</v>
      </c>
      <c r="E56" s="3">
        <v>4.3666666666666671E-3</v>
      </c>
      <c r="F56" s="3">
        <f t="shared" si="2"/>
        <v>0.11852233333333333</v>
      </c>
      <c r="G56" s="3">
        <f t="shared" si="3"/>
        <v>8.4812333333333323E-2</v>
      </c>
      <c r="J56" s="10">
        <v>31</v>
      </c>
      <c r="K56" s="10">
        <v>8.8636573029382756E-2</v>
      </c>
      <c r="L56" s="10">
        <v>2.2687603039505816E-3</v>
      </c>
    </row>
    <row r="57" spans="2:12" x14ac:dyDescent="0.2">
      <c r="B57" s="2">
        <v>45289</v>
      </c>
      <c r="C57" s="3">
        <v>-7.574E-3</v>
      </c>
      <c r="D57" s="3">
        <v>4.4228999999999997E-2</v>
      </c>
      <c r="E57" s="3">
        <v>4.3499999999999997E-3</v>
      </c>
      <c r="F57" s="3">
        <f t="shared" si="2"/>
        <v>-1.1924000000000001E-2</v>
      </c>
      <c r="G57" s="3">
        <f t="shared" si="3"/>
        <v>3.9878999999999998E-2</v>
      </c>
      <c r="J57" s="10">
        <v>32</v>
      </c>
      <c r="K57" s="10">
        <v>-3.1572907069325154E-2</v>
      </c>
      <c r="L57" s="10">
        <v>-3.7467426264008188E-2</v>
      </c>
    </row>
    <row r="58" spans="2:12" x14ac:dyDescent="0.2">
      <c r="B58" s="2">
        <v>45322</v>
      </c>
      <c r="C58" s="3">
        <v>5.7280999999999999E-2</v>
      </c>
      <c r="D58" s="3">
        <v>1.5896E-2</v>
      </c>
      <c r="E58" s="3">
        <v>4.3666666666666671E-3</v>
      </c>
      <c r="F58" s="3">
        <f t="shared" si="2"/>
        <v>5.2914333333333334E-2</v>
      </c>
      <c r="G58" s="3">
        <f t="shared" si="3"/>
        <v>1.1529333333333332E-2</v>
      </c>
      <c r="J58" s="10">
        <v>33</v>
      </c>
      <c r="K58" s="10">
        <v>-7.7735287920331783E-2</v>
      </c>
      <c r="L58" s="10">
        <v>-3.4631712079668225E-2</v>
      </c>
    </row>
    <row r="59" spans="2:12" x14ac:dyDescent="0.2">
      <c r="B59" s="2">
        <v>45351</v>
      </c>
      <c r="C59" s="3">
        <v>4.2280999999999999E-2</v>
      </c>
      <c r="D59" s="3">
        <v>5.1721000000000003E-2</v>
      </c>
      <c r="E59" s="3">
        <v>4.3666666666666671E-3</v>
      </c>
      <c r="F59" s="3">
        <f t="shared" si="2"/>
        <v>3.7914333333333335E-2</v>
      </c>
      <c r="G59" s="3">
        <f t="shared" si="3"/>
        <v>4.7354333333333339E-2</v>
      </c>
      <c r="J59" s="10">
        <v>34</v>
      </c>
      <c r="K59" s="10">
        <v>7.7403068028294553E-2</v>
      </c>
      <c r="L59" s="10">
        <v>-8.4167401361627883E-2</v>
      </c>
    </row>
    <row r="60" spans="2:12" x14ac:dyDescent="0.2">
      <c r="B60" s="2">
        <v>45379</v>
      </c>
      <c r="C60" s="3">
        <v>1.7115999999999999E-2</v>
      </c>
      <c r="D60" s="3">
        <v>3.1019000000000001E-2</v>
      </c>
      <c r="E60" s="3">
        <v>4.3666666666666671E-3</v>
      </c>
      <c r="F60" s="3">
        <f t="shared" si="2"/>
        <v>1.2749333333333331E-2</v>
      </c>
      <c r="G60" s="3">
        <f t="shared" si="3"/>
        <v>2.6652333333333333E-2</v>
      </c>
      <c r="J60" s="10">
        <v>35</v>
      </c>
      <c r="K60" s="10">
        <v>5.3900609949391713E-2</v>
      </c>
      <c r="L60" s="10">
        <v>4.4612723383941628E-2</v>
      </c>
    </row>
    <row r="61" spans="2:12" x14ac:dyDescent="0.2">
      <c r="B61" s="2">
        <v>45412</v>
      </c>
      <c r="C61" s="3">
        <v>-7.4609999999999996E-2</v>
      </c>
      <c r="D61" s="3">
        <v>-4.1614999999999999E-2</v>
      </c>
      <c r="E61" s="3">
        <v>4.3750000000000004E-3</v>
      </c>
      <c r="F61" s="3">
        <f t="shared" si="2"/>
        <v>-7.8985E-2</v>
      </c>
      <c r="G61" s="3">
        <f t="shared" si="3"/>
        <v>-4.5990000000000003E-2</v>
      </c>
      <c r="J61" s="10">
        <v>36</v>
      </c>
      <c r="K61" s="10">
        <v>-4.7459946624366665E-2</v>
      </c>
      <c r="L61" s="10">
        <v>-1.6368386708966669E-2</v>
      </c>
    </row>
    <row r="62" spans="2:12" x14ac:dyDescent="0.2">
      <c r="B62" s="2">
        <v>45443</v>
      </c>
      <c r="C62" s="3">
        <v>6.8194000000000005E-2</v>
      </c>
      <c r="D62" s="3">
        <v>4.8021000000000001E-2</v>
      </c>
      <c r="E62" s="3">
        <v>4.3666666666666671E-3</v>
      </c>
      <c r="F62" s="3">
        <f t="shared" si="2"/>
        <v>6.3827333333333333E-2</v>
      </c>
      <c r="G62" s="3">
        <f t="shared" si="3"/>
        <v>4.3654333333333337E-2</v>
      </c>
      <c r="J62" s="10">
        <v>37</v>
      </c>
      <c r="K62" s="10">
        <v>6.0779669962305494E-2</v>
      </c>
      <c r="L62" s="10">
        <v>-3.1337669962305498E-2</v>
      </c>
    </row>
    <row r="63" spans="2:12" x14ac:dyDescent="0.2">
      <c r="B63" s="2">
        <v>45471</v>
      </c>
      <c r="C63" s="3">
        <v>7.6650999999999997E-2</v>
      </c>
      <c r="D63" s="3">
        <v>3.4669999999999999E-2</v>
      </c>
      <c r="E63" s="3">
        <v>4.3333333333333331E-3</v>
      </c>
      <c r="F63" s="3">
        <f t="shared" si="2"/>
        <v>7.2317666666666669E-2</v>
      </c>
      <c r="G63" s="3">
        <f t="shared" si="3"/>
        <v>3.0336666666666665E-2</v>
      </c>
      <c r="J63" s="10">
        <v>38</v>
      </c>
      <c r="K63" s="10">
        <v>-1.808875308575103E-2</v>
      </c>
      <c r="L63" s="10">
        <v>2.3421419752417696E-2</v>
      </c>
    </row>
    <row r="64" spans="2:12" x14ac:dyDescent="0.2">
      <c r="B64" s="2">
        <v>45504</v>
      </c>
      <c r="C64" s="3">
        <v>-6.3989000000000004E-2</v>
      </c>
      <c r="D64" s="3">
        <v>1.1320999999999999E-2</v>
      </c>
      <c r="E64" s="3">
        <v>4.208333333333333E-3</v>
      </c>
      <c r="F64" s="3">
        <f t="shared" si="2"/>
        <v>-6.8197333333333332E-2</v>
      </c>
      <c r="G64" s="3">
        <f t="shared" si="3"/>
        <v>7.1126666666666664E-3</v>
      </c>
      <c r="J64" s="10">
        <v>39</v>
      </c>
      <c r="K64" s="10">
        <v>3.6619813017820732E-2</v>
      </c>
      <c r="L64" s="10">
        <v>0.11516218698217927</v>
      </c>
    </row>
    <row r="65" spans="2:12" x14ac:dyDescent="0.2">
      <c r="B65" s="2">
        <v>45534</v>
      </c>
      <c r="C65" s="3">
        <v>-1.1000000000000001E-3</v>
      </c>
      <c r="D65" s="3">
        <v>2.2835000000000001E-2</v>
      </c>
      <c r="E65" s="3">
        <v>3.933333333333333E-3</v>
      </c>
      <c r="F65" s="3">
        <f t="shared" si="2"/>
        <v>-5.0333333333333332E-3</v>
      </c>
      <c r="G65" s="3">
        <f t="shared" si="3"/>
        <v>1.8901666666666667E-2</v>
      </c>
      <c r="J65" s="10">
        <v>40</v>
      </c>
      <c r="K65" s="10">
        <v>1.8142059644002752E-2</v>
      </c>
      <c r="L65" s="10">
        <v>4.3339607022663915E-2</v>
      </c>
    </row>
    <row r="66" spans="2:12" x14ac:dyDescent="0.2">
      <c r="B66" s="2">
        <v>45565</v>
      </c>
      <c r="C66" s="3">
        <v>3.1548E-2</v>
      </c>
      <c r="D66" s="3">
        <v>2.0197E-2</v>
      </c>
      <c r="E66" s="3">
        <v>3.7583333333333331E-3</v>
      </c>
      <c r="F66" s="3">
        <f t="shared" si="2"/>
        <v>2.7789666666666667E-2</v>
      </c>
      <c r="G66" s="3">
        <f t="shared" si="3"/>
        <v>1.6438666666666667E-2</v>
      </c>
      <c r="J66" s="10">
        <v>41</v>
      </c>
      <c r="K66" s="10">
        <v>7.2163178061009905E-3</v>
      </c>
      <c r="L66" s="10">
        <v>5.9465682193899014E-2</v>
      </c>
    </row>
    <row r="67" spans="2:12" x14ac:dyDescent="0.2">
      <c r="B67" s="2">
        <v>45596</v>
      </c>
      <c r="C67" s="3">
        <v>-5.5659E-2</v>
      </c>
      <c r="D67" s="3">
        <v>-9.8969999999999995E-3</v>
      </c>
      <c r="E67" s="3">
        <v>3.6833333333333332E-3</v>
      </c>
      <c r="F67" s="3">
        <f t="shared" si="2"/>
        <v>-5.934233333333333E-2</v>
      </c>
      <c r="G67" s="3">
        <f t="shared" si="3"/>
        <v>-1.3580333333333333E-2</v>
      </c>
      <c r="J67" s="10">
        <v>42</v>
      </c>
      <c r="K67" s="10">
        <v>6.3000409988213518E-2</v>
      </c>
      <c r="L67" s="10">
        <v>-3.0376409988213518E-2</v>
      </c>
    </row>
    <row r="68" spans="2:12" x14ac:dyDescent="0.2">
      <c r="B68" s="2">
        <v>45625</v>
      </c>
      <c r="C68" s="3">
        <v>4.4149000000000001E-2</v>
      </c>
      <c r="D68" s="3">
        <v>5.7300999999999998E-2</v>
      </c>
      <c r="E68" s="3">
        <v>3.5583333333333331E-3</v>
      </c>
      <c r="F68" s="3">
        <f t="shared" si="2"/>
        <v>4.0590666666666671E-2</v>
      </c>
      <c r="G68" s="3">
        <f t="shared" si="3"/>
        <v>5.3742666666666668E-2</v>
      </c>
      <c r="J68" s="10">
        <v>43</v>
      </c>
      <c r="K68" s="10">
        <v>3.2824665517652778E-2</v>
      </c>
      <c r="L68" s="10">
        <v>-5.0808332184319446E-2</v>
      </c>
    </row>
    <row r="69" spans="2:12" x14ac:dyDescent="0.2">
      <c r="B69" s="2">
        <v>45657</v>
      </c>
      <c r="C69" s="3">
        <v>-4.6290000000000003E-3</v>
      </c>
      <c r="D69" s="3">
        <v>-2.4989999999999998E-2</v>
      </c>
      <c r="E69" s="3">
        <v>3.5083333333333334E-3</v>
      </c>
      <c r="F69" s="3">
        <f t="shared" si="2"/>
        <v>-8.1373333333333332E-3</v>
      </c>
      <c r="G69" s="3">
        <f t="shared" si="3"/>
        <v>-2.849833333333333E-2</v>
      </c>
      <c r="J69" s="10">
        <v>44</v>
      </c>
      <c r="K69" s="10">
        <v>-1.1026351169014806E-2</v>
      </c>
      <c r="L69" s="10">
        <v>-1.5673982164318527E-2</v>
      </c>
    </row>
    <row r="70" spans="2:12" x14ac:dyDescent="0.2">
      <c r="J70" s="10">
        <v>45</v>
      </c>
      <c r="K70" s="10">
        <v>-3.8859327070829751E-2</v>
      </c>
      <c r="L70" s="10">
        <v>-2.2336729291702537E-3</v>
      </c>
    </row>
    <row r="71" spans="2:12" x14ac:dyDescent="0.2">
      <c r="J71" s="10">
        <v>46</v>
      </c>
      <c r="K71" s="10">
        <v>-1.4814918698735625E-2</v>
      </c>
      <c r="L71" s="10">
        <v>8.1238252032068956E-2</v>
      </c>
    </row>
    <row r="72" spans="2:12" x14ac:dyDescent="0.2">
      <c r="J72" s="10">
        <v>47</v>
      </c>
      <c r="K72" s="10">
        <v>8.4947004145934729E-2</v>
      </c>
      <c r="L72" s="10">
        <v>3.3575329187398598E-2</v>
      </c>
    </row>
    <row r="73" spans="2:12" x14ac:dyDescent="0.2">
      <c r="J73" s="10">
        <v>48</v>
      </c>
      <c r="K73" s="10">
        <v>4.4629730678944386E-2</v>
      </c>
      <c r="L73" s="10">
        <v>-5.6553730678944383E-2</v>
      </c>
    </row>
    <row r="74" spans="2:12" x14ac:dyDescent="0.2">
      <c r="J74" s="10">
        <v>49</v>
      </c>
      <c r="K74" s="10">
        <v>1.9192462199018108E-2</v>
      </c>
      <c r="L74" s="10">
        <v>3.3721871134315226E-2</v>
      </c>
    </row>
    <row r="75" spans="2:12" x14ac:dyDescent="0.2">
      <c r="J75" s="10">
        <v>50</v>
      </c>
      <c r="K75" s="10">
        <v>5.1337113281101104E-2</v>
      </c>
      <c r="L75" s="10">
        <v>-1.342277994776777E-2</v>
      </c>
    </row>
    <row r="76" spans="2:12" x14ac:dyDescent="0.2">
      <c r="J76" s="10">
        <v>51</v>
      </c>
      <c r="K76" s="10">
        <v>3.2761856708839215E-2</v>
      </c>
      <c r="L76" s="10">
        <v>-2.0012523375505884E-2</v>
      </c>
    </row>
    <row r="77" spans="2:12" x14ac:dyDescent="0.2">
      <c r="J77" s="10">
        <v>52</v>
      </c>
      <c r="K77" s="10">
        <v>-3.2417835092650442E-2</v>
      </c>
      <c r="L77" s="10">
        <v>-4.6567164907349558E-2</v>
      </c>
    </row>
    <row r="78" spans="2:12" x14ac:dyDescent="0.2">
      <c r="J78" s="10">
        <v>53</v>
      </c>
      <c r="K78" s="10">
        <v>4.8017219100955758E-2</v>
      </c>
      <c r="L78" s="10">
        <v>1.5810114232377576E-2</v>
      </c>
    </row>
    <row r="79" spans="2:12" x14ac:dyDescent="0.2">
      <c r="J79" s="10">
        <v>54</v>
      </c>
      <c r="K79" s="10">
        <v>3.6067693679392956E-2</v>
      </c>
      <c r="L79" s="10">
        <v>3.6249972987273713E-2</v>
      </c>
    </row>
    <row r="80" spans="2:12" x14ac:dyDescent="0.2">
      <c r="J80" s="10">
        <v>55</v>
      </c>
      <c r="K80" s="10">
        <v>1.5229525452448212E-2</v>
      </c>
      <c r="L80" s="10">
        <v>-8.3426858785781544E-2</v>
      </c>
    </row>
    <row r="81" spans="10:12" x14ac:dyDescent="0.2">
      <c r="J81" s="10">
        <v>56</v>
      </c>
      <c r="K81" s="10">
        <v>2.580742612534916E-2</v>
      </c>
      <c r="L81" s="10">
        <v>-3.0840759458682494E-2</v>
      </c>
    </row>
    <row r="82" spans="10:12" x14ac:dyDescent="0.2">
      <c r="J82" s="10">
        <v>57</v>
      </c>
      <c r="K82" s="10">
        <v>2.3597453323809161E-2</v>
      </c>
      <c r="L82" s="10">
        <v>4.1922133428575065E-3</v>
      </c>
    </row>
    <row r="83" spans="10:12" x14ac:dyDescent="0.2">
      <c r="J83" s="10">
        <v>58</v>
      </c>
      <c r="K83" s="10">
        <v>-3.3376557015376476E-3</v>
      </c>
      <c r="L83" s="10">
        <v>-5.6004677631795681E-2</v>
      </c>
    </row>
    <row r="84" spans="10:12" x14ac:dyDescent="0.2">
      <c r="J84" s="10">
        <v>59</v>
      </c>
      <c r="K84" s="10">
        <v>5.7069164809252955E-2</v>
      </c>
      <c r="L84" s="10">
        <v>-1.6478498142586284E-2</v>
      </c>
    </row>
    <row r="85" spans="10:12" ht="17" thickBot="1" x14ac:dyDescent="0.25">
      <c r="J85" s="11">
        <v>60</v>
      </c>
      <c r="K85" s="11">
        <v>-1.6723110128404751E-2</v>
      </c>
      <c r="L85" s="11">
        <v>8.5857767950714182E-3</v>
      </c>
    </row>
  </sheetData>
  <mergeCells count="2">
    <mergeCell ref="B2:C2"/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Oliveira</dc:creator>
  <cp:lastModifiedBy>Cardoso Farinha Oliveira, Miguel</cp:lastModifiedBy>
  <dcterms:created xsi:type="dcterms:W3CDTF">2026-01-02T17:24:52Z</dcterms:created>
  <dcterms:modified xsi:type="dcterms:W3CDTF">2026-01-04T23:22:56Z</dcterms:modified>
</cp:coreProperties>
</file>
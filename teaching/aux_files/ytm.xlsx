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o101/Documents/GitHub/miguelcfoliveira.github.io/teaching/aux_files/"/>
    </mc:Choice>
  </mc:AlternateContent>
  <xr:revisionPtr revIDLastSave="0" documentId="13_ncr:1_{2A3B809E-6A7A-2F45-BB88-166121033F6B}" xr6:coauthVersionLast="47" xr6:coauthVersionMax="47" xr10:uidLastSave="{00000000-0000-0000-0000-000000000000}"/>
  <bookViews>
    <workbookView xWindow="23860" yWindow="1440" windowWidth="13120" windowHeight="17440" activeTab="1" xr2:uid="{61CA6DA5-5B67-9C41-A564-8BA62B65478C}"/>
  </bookViews>
  <sheets>
    <sheet name="Annual" sheetId="1" r:id="rId1"/>
    <sheet name="Semiannual" sheetId="2" r:id="rId2"/>
  </sheets>
  <definedNames>
    <definedName name="solver_adj" localSheetId="0" hidden="1">Annual!$C$7</definedName>
    <definedName name="solver_adj" localSheetId="1" hidden="1">Semiannual!$C$7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1</definedName>
    <definedName name="solver_eng" localSheetId="1" hidden="1">1</definedName>
    <definedName name="solver_itr" localSheetId="0" hidden="1">2147483647</definedName>
    <definedName name="solver_itr" localSheetId="1" hidden="1">2147483647</definedName>
    <definedName name="solver_lin" localSheetId="0" hidden="1">2</definedName>
    <definedName name="solver_lin" localSheetId="1" hidden="1">2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opt" localSheetId="0" hidden="1">Annual!$C$9</definedName>
    <definedName name="solver_opt" localSheetId="1" hidden="1">Semiannual!$C$9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lx" localSheetId="0" hidden="1">1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92.809</definedName>
    <definedName name="solver_val" localSheetId="1" hidden="1">119.793</definedName>
    <definedName name="solver_ver" localSheetId="0" hidden="1">2</definedName>
    <definedName name="solver_ver" localSheetId="1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9" i="2" s="1"/>
  <c r="C9" i="1" l="1"/>
  <c r="C5" i="1"/>
</calcChain>
</file>

<file path=xl/sharedStrings.xml><?xml version="1.0" encoding="utf-8"?>
<sst xmlns="http://schemas.openxmlformats.org/spreadsheetml/2006/main" count="14" uniqueCount="7">
  <si>
    <t>PV</t>
  </si>
  <si>
    <t>coupon rate</t>
  </si>
  <si>
    <t>frequency</t>
  </si>
  <si>
    <t>coupon payment</t>
  </si>
  <si>
    <t>face value</t>
  </si>
  <si>
    <t>YTM (APR)</t>
  </si>
  <si>
    <t>maturity (in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</si>
</sst>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%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44" fontId="0" fillId="0" borderId="0" xfId="1" applyFont="1"/>
    <xf numFmtId="0" fontId="0" fillId="0" borderId="1" xfId="0" applyBorder="1"/>
    <xf numFmtId="164" fontId="0" fillId="0" borderId="1" xfId="0" applyNumberFormat="1" applyBorder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21EE-55EC-4949-9D71-C35481B6EF7D}">
  <dimension ref="B2:C9"/>
  <sheetViews>
    <sheetView showGridLines="0" workbookViewId="0">
      <selection sqref="A1:XFD1048576"/>
    </sheetView>
  </sheetViews>
  <sheetFormatPr baseColWidth="10" defaultRowHeight="16" x14ac:dyDescent="0.2"/>
  <cols>
    <col min="1" max="1" width="5.6640625" customWidth="1"/>
    <col min="2" max="2" width="20.33203125" bestFit="1" customWidth="1"/>
  </cols>
  <sheetData>
    <row r="2" spans="2:3" x14ac:dyDescent="0.2">
      <c r="B2" t="s">
        <v>4</v>
      </c>
      <c r="C2" s="2">
        <v>100</v>
      </c>
    </row>
    <row r="3" spans="2:3" x14ac:dyDescent="0.2">
      <c r="B3" t="s">
        <v>1</v>
      </c>
      <c r="C3" s="1">
        <v>0.1</v>
      </c>
    </row>
    <row r="4" spans="2:3" x14ac:dyDescent="0.2">
      <c r="B4" t="s">
        <v>2</v>
      </c>
      <c r="C4">
        <v>1</v>
      </c>
    </row>
    <row r="5" spans="2:3" x14ac:dyDescent="0.2">
      <c r="B5" t="s">
        <v>3</v>
      </c>
      <c r="C5" s="2">
        <f>C2*C3/C4</f>
        <v>10</v>
      </c>
    </row>
    <row r="6" spans="2:3" x14ac:dyDescent="0.2">
      <c r="B6" t="s">
        <v>6</v>
      </c>
      <c r="C6" s="5">
        <v>15</v>
      </c>
    </row>
    <row r="7" spans="2:3" x14ac:dyDescent="0.2">
      <c r="B7" s="3" t="s">
        <v>5</v>
      </c>
      <c r="C7" s="4">
        <v>0.11000019291338906</v>
      </c>
    </row>
    <row r="9" spans="2:3" x14ac:dyDescent="0.2">
      <c r="B9" t="s">
        <v>0</v>
      </c>
      <c r="C9" s="2">
        <f>($C$5/($C$7/$C$4))*(1-1/(1+$C$7/$C$4)^($C$6*$C$4))+($C$2)/(1+$C$7/$C$4)^($C$6*$C$4)</f>
        <v>92.808999360493999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8EC91-69B3-3741-BF0D-4E56EC93C38A}">
  <dimension ref="B2:C9"/>
  <sheetViews>
    <sheetView showGridLines="0" tabSelected="1" workbookViewId="0">
      <selection activeCell="D15" sqref="D15"/>
    </sheetView>
  </sheetViews>
  <sheetFormatPr baseColWidth="10" defaultRowHeight="16" x14ac:dyDescent="0.2"/>
  <cols>
    <col min="1" max="1" width="5.6640625" customWidth="1"/>
    <col min="2" max="2" width="20.33203125" bestFit="1" customWidth="1"/>
  </cols>
  <sheetData>
    <row r="2" spans="2:3" x14ac:dyDescent="0.2">
      <c r="B2" t="s">
        <v>4</v>
      </c>
      <c r="C2" s="2">
        <v>100</v>
      </c>
    </row>
    <row r="3" spans="2:3" x14ac:dyDescent="0.2">
      <c r="B3" t="s">
        <v>1</v>
      </c>
      <c r="C3" s="1">
        <v>0.1</v>
      </c>
    </row>
    <row r="4" spans="2:3" x14ac:dyDescent="0.2">
      <c r="B4" t="s">
        <v>2</v>
      </c>
      <c r="C4">
        <v>2</v>
      </c>
    </row>
    <row r="5" spans="2:3" x14ac:dyDescent="0.2">
      <c r="B5" t="s">
        <v>3</v>
      </c>
      <c r="C5" s="2">
        <f>C2*C3/C4</f>
        <v>5</v>
      </c>
    </row>
    <row r="6" spans="2:3" x14ac:dyDescent="0.2">
      <c r="B6" t="s">
        <v>6</v>
      </c>
      <c r="C6" s="5">
        <v>20</v>
      </c>
    </row>
    <row r="7" spans="2:3" x14ac:dyDescent="0.2">
      <c r="B7" s="3" t="s">
        <v>5</v>
      </c>
      <c r="C7" s="4">
        <v>7.9999812764499093E-2</v>
      </c>
    </row>
    <row r="9" spans="2:3" x14ac:dyDescent="0.2">
      <c r="B9" t="s">
        <v>0</v>
      </c>
      <c r="C9" s="2">
        <f>($C$5/($C$7/$C$4))*(1-1/(1+$C$7/$C$4)^($C$6*$C$4))+($C$2)/(1+$C$7/$C$4)^($C$6*$C$4)</f>
        <v>119.79298675351629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</vt:lpstr>
      <vt:lpstr>Semiannual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mio101</dc:creator>
  <cp:lastModifiedBy>mio101</cp:lastModifiedBy>
  <dcterms:created xsi:type="dcterms:W3CDTF">2025-11-12T16:28:28Z</dcterms:created>
  <dcterms:modified xsi:type="dcterms:W3CDTF">2026-01-15T22:38:34Z</dcterms:modified>
</cp:coreProperties>
</file>